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08e57a4eb4b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a6127f0806d42be"/>
    <x:sheet xmlns:r="http://schemas.openxmlformats.org/officeDocument/2006/relationships" name="Opportunities" sheetId="2" r:id="Re379dd6922ab40ce"/>
    <x:sheet xmlns:r="http://schemas.openxmlformats.org/officeDocument/2006/relationships" name="Coverage" sheetId="3" r:id="Rd1211106e4fb402d"/>
    <x:sheet xmlns:r="http://schemas.openxmlformats.org/officeDocument/2006/relationships" name="Past" sheetId="4" r:id="R635ea48c06fb4a8b"/>
    <x:sheet xmlns:r="http://schemas.openxmlformats.org/officeDocument/2006/relationships" name="Festival outreach" sheetId="5" r:id="R06b901686be947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d, yyyy"/>
    <x:numFmt numFmtId="201" formatCode="0.00"/>
    <x:numFmt numFmtId="202" formatCode="0"/>
  </x:numFmts>
  <x:fonts count="11">
    <x:font>
      <x:sz val="11"/>
      <x:name val="Carlito"/>
    </x:font>
    <x:font>
      <x:sz val="10"/>
      <x:color rgb="FF64748B"/>
      <x:name val="Arial"/>
    </x:font>
    <x:font>
      <x:sz val="10"/>
      <x:color rgb="FF243247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26364D"/>
      <x:name val="Carlito"/>
    </x:font>
    <x:font>
      <x:b/>
      <x:sz val="16"/>
      <x:color rgb="FF26364D"/>
      <x:name val="Arial"/>
    </x:font>
    <x:font>
      <x:b/>
      <x:sz val="18"/>
      <x:color rgb="FFFFFFFF"/>
      <x:name val="Arial"/>
    </x:font>
    <x:font>
      <x:b/>
      <x:sz val="15"/>
      <x:color rgb="FF087F8C"/>
      <x:name val="Arial"/>
    </x:font>
    <x:font>
      <x:b/>
      <x:sz val="11"/>
      <x:color rgb="FFFFFFFF"/>
      <x:name val="Aptos"/>
    </x:font>
    <x:font>
      <x:sz val="10"/>
      <x:color rgb="FF1F2937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E2E8F0"/>
      </x:patternFill>
    </x:fill>
    <x:fill>
      <x:patternFill patternType="solid">
        <x:fgColor rgb="FF26364D"/>
      </x:patternFill>
    </x:fill>
    <x:fill>
      <x:patternFill patternType="solid">
        <x:fgColor rgb="FFFFF3CC"/>
      </x:patternFill>
    </x:fill>
    <x:fill>
      <x:patternFill patternType="solid">
        <x:fgColor rgb="FF142D3B"/>
      </x:patternFill>
    </x:fill>
    <x:fill>
      <x:patternFill patternType="solid">
        <x:fgColor rgb="FF087F8C"/>
      </x:patternFill>
    </x:fill>
    <x:fill>
      <x:patternFill patternType="solid">
        <x:fgColor rgb="FFE6F4F1"/>
      </x:patternFill>
    </x:fill>
    <x:fill>
      <x:patternFill patternType="solid">
        <x:fgColor rgb="FF172554"/>
      </x:patternFill>
    </x:fill>
    <x:fill>
      <x:patternFill patternType="solid">
        <x:fgColor rgb="FFFFF7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2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3" fillId="3" borderId="0" xfId="0" applyNumberFormat="1" applyFont="1" applyFill="1" applyBorder="1"/>
    <x:xf numFmtId="200" fontId="4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0" fontId="3" fillId="6" borderId="0" xfId="0" applyNumberFormat="1" applyFont="1" applyFill="1" applyBorder="1"/>
    <x:xf numFmtId="0" fontId="4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B241C"/>
      </x:font>
      <x:fill>
        <x:patternFill>
          <x:bgColor rgb="FFFFE3DE"/>
        </x:patternFill>
      </x:fill>
    </x:dxf>
    <x:dxf>
      <x:font>
        <x:color rgb="FF215C39"/>
      </x:font>
      <x:fill>
        <x:patternFill>
          <x:bgColor rgb="FFDCEFE2"/>
        </x:patternFill>
      </x:fill>
    </x:dxf>
    <x:dxf>
      <x:font>
        <x:color rgb="FF77366C"/>
      </x:font>
      <x:fill>
        <x:patternFill>
          <x:bgColor rgb="FFF2E3EF"/>
        </x:patternFill>
      </x:fill>
    </x:dxf>
    <x:dxf>
      <x:font>
        <x:color rgb="FF12634D"/>
      </x:font>
      <x:fill>
        <x:patternFill>
          <x:bgColor rgb="FFE6F4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c425c7d2224002" /><Relationship Type="http://schemas.openxmlformats.org/officeDocument/2006/relationships/theme" Target="/xl/theme/theme1.xml" Id="R662bf7a49f5b4a1b" /><Relationship Type="http://schemas.openxmlformats.org/officeDocument/2006/relationships/sharedStrings" Target="/xl/sharedStrings.xml" Id="Rc51f0e9aab69499e" /><Relationship Type="http://schemas.openxmlformats.org/officeDocument/2006/relationships/worksheet" Target="/xl/worksheets/sheet1.xml" Id="R8a6127f0806d42be" /><Relationship Type="http://schemas.openxmlformats.org/officeDocument/2006/relationships/worksheet" Target="/xl/worksheets/sheet2.xml" Id="Re379dd6922ab40ce" /><Relationship Type="http://schemas.openxmlformats.org/officeDocument/2006/relationships/worksheet" Target="/xl/worksheets/sheet3.xml" Id="Rd1211106e4fb402d" /><Relationship Type="http://schemas.openxmlformats.org/officeDocument/2006/relationships/worksheet" Target="/xl/worksheets/sheet4.xml" Id="R635ea48c06fb4a8b" /><Relationship Type="http://schemas.openxmlformats.org/officeDocument/2006/relationships/worksheet" Target="/xl/worksheets/sheet5.xml" Id="R06b901686be9472a" /></Relationships>
</file>

<file path=xl/tables/table1.xml><?xml version="1.0" encoding="utf-8"?>
<x:table xmlns:x="http://schemas.openxmlformats.org/spreadsheetml/2006/main" id="1" name="OpportunitiesTable" displayName="OpportunitiesTable" ref="A6:AH26" headerRowCount="1" totalsRowCount="0" totalsRowShown="0">
  <x:tableColumns count="34">
    <x:tableColumn id="1" name="ID"/>
    <x:tableColumn id="2" name="Application status"/>
    <x:tableColumn id="3" name="Your priority"/>
    <x:tableColumn id="4" name="Category"/>
    <x:tableColumn id="5" name="Project"/>
    <x:tableColumn id="6" name="Role"/>
    <x:tableColumn id="7" name="Deadline"/>
    <x:tableColumn id="8" name="Days left"/>
    <x:tableColumn id="9" name="Reminder"/>
    <x:tableColumn id="10" name="Next action"/>
    <x:tableColumn id="11" name="Submitted on"/>
    <x:tableColumn id="12" name="Follow-up on"/>
    <x:tableColumn id="13" name="Your notes"/>
    <x:tableColumn id="14" name="Pay type"/>
    <x:tableColumn id="15" name="Rate"/>
    <x:tableColumn id="16" name="Pay basis"/>
    <x:tableColumn id="17" name="Location"/>
    <x:tableColumn id="18" name="Shoot start"/>
    <x:tableColumn id="19" name="Shoot end"/>
    <x:tableColumn id="20" name="Schedule / hours"/>
    <x:tableColumn id="21" name="Before Dec 1?"/>
    <x:tableColumn id="22" name="Eligibility / fit"/>
    <x:tableColumn id="23" name="Union"/>
    <x:tableColumn id="24" name="Audition format"/>
    <x:tableColumn id="25" name="Audition / callback dates"/>
    <x:tableColumn id="26" name="Submission materials"/>
    <x:tableColumn id="27" name="Contact / recipient"/>
    <x:tableColumn id="28" name="Email subject"/>
    <x:tableColumn id="29" name="Application / source URL"/>
    <x:tableColumn id="30" name="Group / source"/>
    <x:tableColumn id="31" name="Checked on"/>
    <x:tableColumn id="32" name="Verification"/>
    <x:tableColumn id="33" name="Portfolio / equipment"/>
    <x:tableColumn id="34" name="Missing / confir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002cbef3f443ed" /></Relationships>
</file>

<file path=xl/worksheets/sheet1.xml><?xml version="1.0" encoding="utf-8"?>
<x:worksheet xmlns:x="http://schemas.openxmlformats.org/spreadsheetml/2006/main">
  <x:sheetPr>
    <x:tabColor rgb="FF26364D"/>
  </x:sheetPr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4" hidden="0" customWidth="1"/>
    <x:col min="4" max="4" width="30" hidden="0" customWidth="1"/>
    <x:col min="5" max="5" width="12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Your audition and creative-work queue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4" ht="25" customHeight="1">
      <x:c r="A4" s="26" t="str">
        <x:v>Today</x:v>
      </x:c>
      <x:c r="B4" s="27" t="n">
        <x:f>TODAY()</x:f>
        <x:v>46315</x:v>
      </x:c>
      <x:c r="C4" s="26"/>
      <x:c r="D4" s="26"/>
      <x:c r="E4" s="26"/>
    </x:row>
    <x:row r="5" ht="25" customHeight="1">
      <x:c r="A5" s="26" t="str">
        <x:v>Departure</x:v>
      </x:c>
      <x:c r="B5" s="30" t="d">
        <x:v>2026-12-01T00:00:00.000Z</x:v>
      </x:c>
      <x:c r="C5" s="26"/>
      <x:c r="D5" s="26"/>
      <x:c r="E5" s="26"/>
    </x:row>
    <x:row r="6" ht="25" customHeight="1">
      <x:c r="A6" s="26" t="str">
        <x:v>Research checked</x:v>
      </x:c>
      <x:c r="B6" s="27" t="d">
        <x:v>2026-10-15T00:00:00.000Z</x:v>
      </x:c>
      <x:c r="C6" s="26"/>
      <x:c r="D6" s="26"/>
      <x:c r="E6" s="26"/>
    </x:row>
    <x:row r="7" ht="25" customHeight="1">
      <x:c r="A7" s="26"/>
      <x:c r="B7" s="26"/>
      <x:c r="C7" s="26"/>
      <x:c r="D7" s="26"/>
      <x:c r="E7" s="26"/>
    </x:row>
    <x:row r="8" ht="28" customHeight="1">
      <x:c r="A8" s="41" t="str">
        <x:v>APPLICATION STATUS</x:v>
      </x:c>
      <x:c r="B8" s="41" t="str">
        <x:v>ENTRIES</x:v>
      </x:c>
      <x:c r="C8" s="26"/>
      <x:c r="D8" s="41" t="str">
        <x:v>CATEGORY</x:v>
      </x:c>
      <x:c r="E8" s="41" t="str">
        <x:v>ENTRIES</x:v>
      </x:c>
    </x:row>
    <x:row r="9" ht="25" customHeight="1">
      <x:c r="A9" s="26" t="str">
        <x:v>To do</x:v>
      </x:c>
      <x:c r="B9" s="26" t="n">
        <x:f>COUNTIFS(Opportunities!$B$7:$B$1006,A9)</x:f>
        <x:v>16</x:v>
      </x:c>
      <x:c r="C9" s="26"/>
      <x:c r="D9" s="26" t="str">
        <x:v>Acting — film / TV</x:v>
      </x:c>
      <x:c r="E9" s="26" t="n">
        <x:f>COUNTIFS(Opportunities!$D$7:$D$1006,D9)</x:f>
        <x:v>4</x:v>
      </x:c>
    </x:row>
    <x:row r="10" ht="25" customHeight="1">
      <x:c r="A10" s="26" t="str">
        <x:v>Research needed</x:v>
      </x:c>
      <x:c r="B10" s="26" t="n">
        <x:f>COUNTIFS(Opportunities!$B$7:$B$1006,A10)</x:f>
        <x:v>3</x:v>
      </x:c>
      <x:c r="C10" s="26"/>
      <x:c r="D10" s="26" t="str">
        <x:v>Commercial / modeling</x:v>
      </x:c>
      <x:c r="E10" s="26" t="n">
        <x:f>COUNTIFS(Opportunities!$D$7:$D$1006,D10)</x:f>
        <x:v>2</x:v>
      </x:c>
    </x:row>
    <x:row r="11" ht="25" customHeight="1">
      <x:c r="A11" s="26" t="str">
        <x:v>Preparing</x:v>
      </x:c>
      <x:c r="B11" s="26" t="n">
        <x:f>COUNTIFS(Opportunities!$B$7:$B$1006,A11)</x:f>
        <x:v>0</x:v>
      </x:c>
      <x:c r="C11" s="26"/>
      <x:c r="D11" s="26" t="str">
        <x:v>Background / stand-in</x:v>
      </x:c>
      <x:c r="E11" s="26" t="n">
        <x:f>COUNTIFS(Opportunities!$D$7:$D$1006,D11)</x:f>
        <x:v>2</x:v>
      </x:c>
    </x:row>
    <x:row r="12" ht="25" customHeight="1">
      <x:c r="A12" s="26" t="str">
        <x:v>Submitted</x:v>
      </x:c>
      <x:c r="B12" s="26" t="n">
        <x:f>COUNTIFS(Opportunities!$B$7:$B$1006,A12)</x:f>
        <x:v>1</x:v>
      </x:c>
      <x:c r="C12" s="26"/>
      <x:c r="D12" s="26" t="str">
        <x:v>Commercial / comedy</x:v>
      </x:c>
      <x:c r="E12" s="26" t="n">
        <x:f>COUNTIFS(Opportunities!$D$7:$D$1006,D12)</x:f>
        <x:v>4</x:v>
      </x:c>
    </x:row>
    <x:row r="13" ht="25" customHeight="1">
      <x:c r="A13" s="26" t="str">
        <x:v>Waitlisted</x:v>
      </x:c>
      <x:c r="B13" s="26" t="n">
        <x:f>COUNTIFS(Opportunities!$B$7:$B$1006,A13)</x:f>
        <x:v>0</x:v>
      </x:c>
      <x:c r="C13" s="26"/>
      <x:c r="D13" s="26" t="str">
        <x:v>DOP / camera / crew</x:v>
      </x:c>
      <x:c r="E13" s="26" t="n">
        <x:f>COUNTIFS(Opportunities!$D$7:$D$1006,D13)</x:f>
        <x:v>2</x:v>
      </x:c>
    </x:row>
    <x:row r="14" ht="25" customHeight="1">
      <x:c r="A14" s="26" t="str">
        <x:v>Callback</x:v>
      </x:c>
      <x:c r="B14" s="26" t="n">
        <x:f>COUNTIFS(Opportunities!$B$7:$B$1006,A14)</x:f>
        <x:v>0</x:v>
      </x:c>
      <x:c r="C14" s="26"/>
      <x:c r="D14" s="26" t="str">
        <x:v>Videography / editing</x:v>
      </x:c>
      <x:c r="E14" s="26" t="n">
        <x:f>COUNTIFS(Opportunities!$D$7:$D$1006,D14)</x:f>
        <x:v>2</x:v>
      </x:c>
    </x:row>
    <x:row r="15" ht="25" customHeight="1">
      <x:c r="A15" s="26" t="str">
        <x:v>Booked</x:v>
      </x:c>
      <x:c r="B15" s="26" t="n">
        <x:f>COUNTIFS(Opportunities!$B$7:$B$1006,A15)</x:f>
        <x:v>0</x:v>
      </x:c>
      <x:c r="C15" s="26"/>
      <x:c r="D15" s="26" t="str">
        <x:v>Theatre / live performance</x:v>
      </x:c>
      <x:c r="E15" s="26" t="n">
        <x:f>COUNTIFS(Opportunities!$D$7:$D$1006,D15)</x:f>
        <x:v>4</x:v>
      </x:c>
    </x:row>
    <x:row r="16" ht="25" customHeight="1">
      <x:c r="A16" s="26" t="str">
        <x:v>Passed</x:v>
      </x:c>
      <x:c r="B16" s="26" t="n">
        <x:f>COUNTIFS(Opportunities!$B$7:$B$1006,A16)</x:f>
        <x:v>0</x:v>
      </x:c>
      <x:c r="C16" s="26"/>
      <x:c r="D16" s="26"/>
      <x:c r="E16" s="26"/>
    </x:row>
    <x:row r="17" ht="25" customHeight="1">
      <x:c r="A17" s="26" t="str">
        <x:v>Closed</x:v>
      </x:c>
      <x:c r="B17" s="26" t="n">
        <x:f>COUNTIFS(Opportunities!$B$7:$B$1006,A17)</x:f>
        <x:v>0</x:v>
      </x:c>
      <x:c r="C17" s="26"/>
      <x:c r="D17" s="42" t="str">
        <x:v>Due today</x:v>
      </x:c>
      <x:c r="E17" s="43" t="n">
        <x:f>COUNTIFS(Opportunities!$I$7:$I$1006,"Due today")</x:f>
        <x:v>2</x:v>
      </x:c>
    </x:row>
    <x:row r="18" ht="25" customHeight="1">
      <x:c r="A18" s="26"/>
      <x:c r="B18" s="26"/>
      <x:c r="C18" s="26"/>
      <x:c r="D18" s="42" t="str">
        <x:v>Due within 3 days</x:v>
      </x:c>
      <x:c r="E18" s="43" t="n">
        <x:f>COUNTIFS(Opportunities!$I$7:$I$1006,"Due within 3 days")</x:f>
        <x:v>0</x:v>
      </x:c>
    </x:row>
    <x:row r="19" ht="25" customHeight="1">
      <x:c r="A19" s="26"/>
      <x:c r="B19" s="26"/>
      <x:c r="C19" s="26"/>
      <x:c r="D19" s="42" t="str">
        <x:v>Follow up now</x:v>
      </x:c>
      <x:c r="E19" s="43" t="n">
        <x:f>COUNTIFS(Opportunities!$I$7:$I$1006,"Follow up")</x:f>
        <x:v>0</x:v>
      </x:c>
    </x:row>
    <x:row r="21">
      <x:c r="A21" s="32" t="str">
        <x:v>HOW TO USE THIS FILE</x:v>
      </x:c>
    </x:row>
    <x:row r="22" ht="26" customHeight="1">
      <x:c r="A22" s="31" t="str">
        <x:v>Open Opportunities and use the header filters. Each role has a stable ID; multiple roles can belong to one project.</x:v>
      </x:c>
    </x:row>
    <x:row r="23" ht="26" customHeight="1">
      <x:c r="A23" s="31" t="str">
        <x:v>Change Application status instead of deleting or crossing out rows. Amber fields are yours: status, priority, submitted date, follow-up date and notes.</x:v>
      </x:c>
    </x:row>
    <x:row r="24" ht="26" customHeight="1">
      <x:c r="A24" s="31" t="str">
        <x:v>Submitted means your application was actually sent. Waitlisted, Callback and Booked track the outcome; do not infer success from silence.</x:v>
      </x:c>
    </x:row>
    <x:row r="25" ht="26" customHeight="1">
      <x:c r="A25" s="31" t="str">
        <x:v>Add a Follow-up on date for your own reminder. Submitted and waitlisted entries stop application-deadline reminders.</x:v>
      </x:c>
    </x:row>
    <x:row r="26" ht="26" customHeight="1">
      <x:c r="A26" s="31" t="str">
        <x:v>Save this same workbook after editing. Codex reads saved changes at the next review; this is not an instant shared live session.</x:v>
      </x:c>
    </x:row>
    <x:row r="27" ht="26" customHeight="1">
      <x:c r="A27" s="31" t="str">
        <x:v>Keep the file path unchanged. If you move or rename it, tell Codex the new path. Close Excel before a scheduled refresh to avoid a file lock.</x:v>
      </x:c>
    </x:row>
    <x:row r="28" ht="26" customHeight="1">
      <x:c r="A28" s="31" t="str">
        <x:v>5pm and 9pm Vancouver reviews should read this file first, preserve your edits, add new records, and remind only on relevant unfinished actions.</x:v>
      </x:c>
    </x:row>
    <x:row r="29" ht="26" customHeight="1">
      <x:c r="A29" s="31" t="str">
        <x:v>Focus is new and upcoming opportunities from Facebook and Backstage. Past deadlines are retained on Past; no exhaustive historical search.</x:v>
      </x:c>
    </x:row>
    <x:row r="30" ht="26" customHeight="1">
      <x:c r="A30" s="31" t="str">
        <x:v>Dates are Vancouver-local unless a listing says otherwise. Blank deadline/rate means unknown, never zero or automatically open.</x:v>
      </x:c>
    </x:row>
    <x:row r="31" ht="26" customHeight="1">
      <x:c r="A31" s="31" t="str">
        <x:v>Before Dec 1? checks shoot dates only. Ongoing jobs, unknown dates and post-trip productions need your availability confirmation.</x:v>
      </x:c>
    </x:row>
    <x:row r="32" ht="26" customHeight="1">
      <x:c r="A32" s="31" t="str">
        <x:v>No messages or applications are sent by updating this workbook. You submit applications; Codex researches and maintains the tracker.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68124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1" hidden="0" customWidth="1"/>
    <x:col min="2" max="2" width="20" hidden="0" customWidth="1"/>
    <x:col min="3" max="3" width="20" hidden="0" customWidth="1"/>
    <x:col min="4" max="4" width="25" hidden="0" customWidth="1"/>
    <x:col min="5" max="5" width="27" hidden="0" customWidth="1"/>
    <x:col min="6" max="6" width="29" hidden="0" customWidth="1"/>
    <x:col min="7" max="7" width="16" hidden="0" customWidth="1"/>
    <x:col min="8" max="8" width="10" hidden="0" customWidth="1"/>
    <x:col min="9" max="9" width="22" hidden="0" customWidth="1"/>
    <x:col min="10" max="10" width="42" hidden="0" customWidth="1"/>
    <x:col min="11" max="11" width="16" hidden="0" customWidth="1"/>
    <x:col min="12" max="12" width="16" hidden="0" customWidth="1"/>
    <x:col min="13" max="13" width="38" hidden="0" customWidth="1"/>
    <x:col min="14" max="14" width="21" hidden="0" customWidth="1"/>
    <x:col min="15" max="15" width="12" hidden="0" customWidth="1"/>
    <x:col min="16" max="16" width="32" hidden="0" customWidth="1"/>
    <x:col min="17" max="17" width="25" hidden="0" customWidth="1"/>
    <x:col min="18" max="18" width="16" hidden="0" customWidth="1"/>
    <x:col min="19" max="19" width="16" hidden="0" customWidth="1"/>
    <x:col min="20" max="20" width="40" hidden="0" customWidth="1"/>
    <x:col min="21" max="21" width="22" hidden="0" customWidth="1"/>
    <x:col min="22" max="22" width="45" hidden="0" customWidth="1"/>
    <x:col min="23" max="23" width="25" hidden="0" customWidth="1"/>
    <x:col min="24" max="24" width="35" hidden="0" customWidth="1"/>
    <x:col min="25" max="25" width="42" hidden="0" customWidth="1"/>
    <x:col min="26" max="26" width="46" hidden="0" customWidth="1"/>
    <x:col min="27" max="27" width="43" hidden="0" customWidth="1"/>
    <x:col min="28" max="28" width="43" hidden="0" customWidth="1"/>
    <x:col min="29" max="29" width="65" hidden="0" customWidth="1"/>
    <x:col min="30" max="30" width="40" hidden="0" customWidth="1"/>
    <x:col min="31" max="31" width="16" hidden="0" customWidth="1"/>
    <x:col min="32" max="32" width="38" hidden="0" customWidth="1"/>
    <x:col min="33" max="33" width="50" hidden="0" customWidth="1"/>
    <x:col min="34" max="34" width="44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Vancouver creative opportunities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t="str">
        <x:v>Edit amber fields. Filter Category, Application status, Deadline and Before Dec 1? to build your queue.</x:v>
      </x:c>
    </x:row>
    <x:row r="4">
      <x:c r="A4" t="str">
        <x:v>Coverage is partial. Unknown deadline is not proof that a role remains open. Source details are to the right.</x:v>
      </x:c>
    </x:row>
    <x:row r="6" ht="34" customHeight="1">
      <x:c r="A6" s="23" t="str">
        <x:v>ID</x:v>
      </x:c>
      <x:c r="B6" s="23" t="str">
        <x:v>Application status</x:v>
      </x:c>
      <x:c r="C6" s="23" t="str">
        <x:v>Your priority</x:v>
      </x:c>
      <x:c r="D6" s="23" t="str">
        <x:v>Category</x:v>
      </x:c>
      <x:c r="E6" s="23" t="str">
        <x:v>Project</x:v>
      </x:c>
      <x:c r="F6" s="23" t="str">
        <x:v>Role</x:v>
      </x:c>
      <x:c r="G6" s="23" t="str">
        <x:v>Deadline</x:v>
      </x:c>
      <x:c r="H6" s="23" t="str">
        <x:v>Days left</x:v>
      </x:c>
      <x:c r="I6" s="23" t="str">
        <x:v>Reminder</x:v>
      </x:c>
      <x:c r="J6" s="23" t="str">
        <x:v>Next action</x:v>
      </x:c>
      <x:c r="K6" s="23" t="str">
        <x:v>Submitted on</x:v>
      </x:c>
      <x:c r="L6" s="23" t="str">
        <x:v>Follow-up on</x:v>
      </x:c>
      <x:c r="M6" s="23" t="str">
        <x:v>Your notes</x:v>
      </x:c>
      <x:c r="N6" s="23" t="str">
        <x:v>Pay type</x:v>
      </x:c>
      <x:c r="O6" s="23" t="str">
        <x:v>Rate</x:v>
      </x:c>
      <x:c r="P6" s="23" t="str">
        <x:v>Pay basis</x:v>
      </x:c>
      <x:c r="Q6" s="23" t="str">
        <x:v>Location</x:v>
      </x:c>
      <x:c r="R6" s="23" t="str">
        <x:v>Shoot start</x:v>
      </x:c>
      <x:c r="S6" s="23" t="str">
        <x:v>Shoot end</x:v>
      </x:c>
      <x:c r="T6" s="23" t="str">
        <x:v>Schedule / hours</x:v>
      </x:c>
      <x:c r="U6" s="23" t="str">
        <x:v>Before Dec 1?</x:v>
      </x:c>
      <x:c r="V6" s="23" t="str">
        <x:v>Eligibility / fit</x:v>
      </x:c>
      <x:c r="W6" s="23" t="str">
        <x:v>Union</x:v>
      </x:c>
      <x:c r="X6" s="23" t="str">
        <x:v>Audition format</x:v>
      </x:c>
      <x:c r="Y6" s="23" t="str">
        <x:v>Audition / callback dates</x:v>
      </x:c>
      <x:c r="Z6" s="23" t="str">
        <x:v>Submission materials</x:v>
      </x:c>
      <x:c r="AA6" s="23" t="str">
        <x:v>Contact / recipient</x:v>
      </x:c>
      <x:c r="AB6" s="23" t="str">
        <x:v>Email subject</x:v>
      </x:c>
      <x:c r="AC6" s="23" t="str">
        <x:v>Application / source URL</x:v>
      </x:c>
      <x:c r="AD6" s="23" t="str">
        <x:v>Group / source</x:v>
      </x:c>
      <x:c r="AE6" s="23" t="str">
        <x:v>Checked on</x:v>
      </x:c>
      <x:c r="AF6" s="23" t="str">
        <x:v>Verification</x:v>
      </x:c>
      <x:c r="AG6" s="23" t="str">
        <x:v>Portfolio / equipment</x:v>
      </x:c>
      <x:c r="AH6" s="23" t="str">
        <x:v>Missing / confirm</x:v>
      </x:c>
    </x:row>
    <x:row r="7" ht="48" customHeight="1">
      <x:c r="A7" s="16" t="str">
        <x:v>HOTEL-MAN</x:v>
      </x:c>
      <x:c r="B7" s="24" t="str">
        <x:v>To do</x:v>
      </x:c>
      <x:c r="C7" s="24" t="str">
        <x:v>Urgent</x:v>
      </x:c>
      <x:c r="D7" s="16" t="str">
        <x:v>Commercial / modeling</x:v>
      </x:c>
      <x:c r="E7" s="16" t="str">
        <x:v>Hotel brand video/photoshoot</x:v>
      </x:c>
      <x:c r="F7" s="16" t="str">
        <x:v>Man</x:v>
      </x:c>
      <x:c r="G7" s="17" t="d">
        <x:v>2026-10-16T00:00:00.000Z</x:v>
      </x:c>
      <x:c r="H7" s="18" t="n">
        <x:f>IF(G7="","",INT(G7)-INT(Overview!$B$4))</x:f>
        <x:v>-4</x:v>
      </x:c>
      <x:c r="I7" s="16" t="str">
        <x:f>IF(OR(B7="Passed",B7="Closed"),"No action",IF(OR(B7="Submitted",B7="Waitlisted",B7="Callback",B7="Booked"),IF(L7="","Track outcome",IF(L7&lt;=Overview!$B$4,"Follow up","Follow-up scheduled")),IF(G7="","Confirm deadline",IF(H7&lt;0,"Deadline passed",IF(H7=0,"Due today",IF(H7&lt;=3,"Due within 3 days","Open queue"))))))</x:f>
        <x:v>Deadline passed</x:v>
      </x:c>
      <x:c r="J7" s="16" t="str">
        <x:v>Apply through listing</x:v>
      </x:c>
      <x:c r="K7" s="25"/>
      <x:c r="L7" s="25"/>
      <x:c r="M7" s="24" t="str"/>
      <x:c r="N7" s="16" t="str">
        <x:v>Paid</x:v>
      </x:c>
      <x:c r="O7" s="19"/>
      <x:c r="P7" s="16" t="str"/>
      <x:c r="Q7" s="16" t="str">
        <x:v>Greater Vancouver</x:v>
      </x:c>
      <x:c r="R7" s="17" t="d">
        <x:v>2026-10-22T00:00:00.000Z</x:v>
      </x:c>
      <x:c r="S7" s="17" t="d">
        <x:v>2026-10-22T00:00:00.000Z</x:v>
      </x:c>
      <x:c r="T7" s="16" t="str">
        <x:v>4-hour shoot; time TBD</x:v>
      </x:c>
      <x:c r="U7" s="16" t="str">
        <x:f>IF(R7="","Dates unknown",IF(R7&gt;=Overview!$B$5,"After departure",IF(S7="","End unknown",IF(S7&gt;=Overview!$B$5,"Overlaps departure","Before departure"))))</x:f>
        <x:v>Before departure</x:v>
      </x:c>
      <x:c r="V7" s="16" t="str">
        <x:v>Male 25–40, all ethnicities; local; fit/active/wellness-oriented preferred</x:v>
      </x:c>
      <x:c r="W7" s="16" t="str">
        <x:v>Not stated</x:v>
      </x:c>
      <x:c r="X7" s="16" t="str">
        <x:v>Not stated</x:v>
      </x:c>
      <x:c r="Y7" s="16" t="str"/>
      <x:c r="Z7" s="16" t="str">
        <x:v>Not stated publicly</x:v>
      </x:c>
      <x:c r="AA7" s="16" t="str">
        <x:v>Listing application</x:v>
      </x:c>
      <x:c r="AB7" s="16" t="str"/>
      <x:c r="AC7" s="16" t="str">
        <x:v>https://allcasting.com/castingcall/322489</x:v>
      </x:c>
      <x:c r="AD7" s="16" t="str">
        <x:v>AllCasting</x:v>
      </x:c>
      <x:c r="AE7" s="17" t="d">
        <x:v>2026-10-15T00:00:00.000Z</x:v>
      </x:c>
      <x:c r="AF7" s="16" t="str">
        <x:v>Full text reviewed</x:v>
      </x:c>
      <x:c r="AG7" s="16" t="str">
        <x:v>Commercial on-camera experience; usage/reel rights need confirmation</x:v>
      </x:c>
      <x:c r="AH7" s="16" t="str">
        <x:v>Rate, materials, audition format and cutoff time</x:v>
      </x:c>
    </x:row>
    <x:row r="8" ht="48" customHeight="1">
      <x:c r="A8" s="16" t="str">
        <x:v>HOTEL-WOMAN</x:v>
      </x:c>
      <x:c r="B8" s="24" t="str">
        <x:v>To do</x:v>
      </x:c>
      <x:c r="C8" s="24" t="str">
        <x:v>Urgent</x:v>
      </x:c>
      <x:c r="D8" s="16" t="str">
        <x:v>Commercial / modeling</x:v>
      </x:c>
      <x:c r="E8" s="16" t="str">
        <x:v>Hotel brand video/photoshoot</x:v>
      </x:c>
      <x:c r="F8" s="16" t="str">
        <x:v>Woman</x:v>
      </x:c>
      <x:c r="G8" s="17" t="d">
        <x:v>2026-10-16T00:00:00.000Z</x:v>
      </x:c>
      <x:c r="H8" s="18" t="n">
        <x:f>IF(G8="","",INT(G8)-INT(Overview!$B$4))</x:f>
        <x:v>-4</x:v>
      </x:c>
      <x:c r="I8" s="16" t="str">
        <x:f>IF(OR(B8="Passed",B8="Closed"),"No action",IF(OR(B8="Submitted",B8="Waitlisted",B8="Callback",B8="Booked"),IF(L8="","Track outcome",IF(L8&lt;=Overview!$B$4,"Follow up","Follow-up scheduled")),IF(G8="","Confirm deadline",IF(H8&lt;0,"Deadline passed",IF(H8=0,"Due today",IF(H8&lt;=3,"Due within 3 days","Open queue"))))))</x:f>
        <x:v>Deadline passed</x:v>
      </x:c>
      <x:c r="J8" s="16" t="str">
        <x:v>Apply through listing</x:v>
      </x:c>
      <x:c r="K8" s="25"/>
      <x:c r="L8" s="25"/>
      <x:c r="M8" s="24" t="str"/>
      <x:c r="N8" s="16" t="str">
        <x:v>Paid</x:v>
      </x:c>
      <x:c r="O8" s="19"/>
      <x:c r="P8" s="16" t="str"/>
      <x:c r="Q8" s="16" t="str">
        <x:v>Greater Vancouver</x:v>
      </x:c>
      <x:c r="R8" s="17" t="d">
        <x:v>2026-10-22T00:00:00.000Z</x:v>
      </x:c>
      <x:c r="S8" s="17" t="d">
        <x:v>2026-10-22T00:00:00.000Z</x:v>
      </x:c>
      <x:c r="T8" s="16" t="str">
        <x:v>4-hour shoot; time TBD</x:v>
      </x:c>
      <x:c r="U8" s="16" t="str">
        <x:f>IF(R8="","Dates unknown",IF(R8&gt;=Overview!$B$5,"After departure",IF(S8="","End unknown",IF(S8&gt;=Overview!$B$5,"Overlaps departure","Before departure"))))</x:f>
        <x:v>Before departure</x:v>
      </x:c>
      <x:c r="V8" s="16" t="str">
        <x:v>Female 25–40, all ethnicities; local; fit/active/wellness-oriented preferred</x:v>
      </x:c>
      <x:c r="W8" s="16" t="str">
        <x:v>Not stated</x:v>
      </x:c>
      <x:c r="X8" s="16" t="str">
        <x:v>Not stated</x:v>
      </x:c>
      <x:c r="Y8" s="16" t="str"/>
      <x:c r="Z8" s="16" t="str">
        <x:v>Not stated publicly</x:v>
      </x:c>
      <x:c r="AA8" s="16" t="str">
        <x:v>Listing application</x:v>
      </x:c>
      <x:c r="AB8" s="16" t="str"/>
      <x:c r="AC8" s="16" t="str">
        <x:v>https://allcasting.com/castingcall/322489</x:v>
      </x:c>
      <x:c r="AD8" s="16" t="str">
        <x:v>AllCasting</x:v>
      </x:c>
      <x:c r="AE8" s="17" t="d">
        <x:v>2026-10-15T00:00:00.000Z</x:v>
      </x:c>
      <x:c r="AF8" s="16" t="str">
        <x:v>Full text reviewed</x:v>
      </x:c>
      <x:c r="AG8" s="16" t="str">
        <x:v>Commercial on-camera experience; usage/reel rights need confirmation</x:v>
      </x:c>
      <x:c r="AH8" s="16" t="str">
        <x:v>Rate, materials, audition format and cutoff time</x:v>
      </x:c>
    </x:row>
    <x:row r="9" ht="48" customHeight="1">
      <x:c r="A9" s="16" t="str">
        <x:v>AYLEX-VIDEO</x:v>
      </x:c>
      <x:c r="B9" s="24" t="str">
        <x:v>To do</x:v>
      </x:c>
      <x:c r="C9" s="24" t="str">
        <x:v>High</x:v>
      </x:c>
      <x:c r="D9" s="16" t="str">
        <x:v>Videography / editing</x:v>
      </x:c>
      <x:c r="E9" s="16" t="str">
        <x:v>Aylex Academies</x:v>
      </x:c>
      <x:c r="F9" s="16" t="str">
        <x:v>Videographer</x:v>
      </x:c>
      <x:c r="G9" s="17" t="d">
        <x:v>2026-10-19T00:00:00.000Z</x:v>
      </x:c>
      <x:c r="H9" s="18" t="n">
        <x:f>IF(G9="","",INT(G9)-INT(Overview!$B$4))</x:f>
        <x:v>-1</x:v>
      </x:c>
      <x:c r="I9" s="16" t="str">
        <x:f>IF(OR(B9="Passed",B9="Closed"),"No action",IF(OR(B9="Submitted",B9="Waitlisted",B9="Callback",B9="Booked"),IF(L9="","Track outcome",IF(L9&lt;=Overview!$B$4,"Follow up","Follow-up scheduled")),IF(G9="","Confirm deadline",IF(H9&lt;0,"Deadline passed",IF(H9=0,"Due today",IF(H9&lt;=3,"Due within 3 days","Open queue"))))))</x:f>
        <x:v>Deadline passed</x:v>
      </x:c>
      <x:c r="J9" s="16" t="str">
        <x:v>Review job application instructions and submit portfolio/résumé as requested</x:v>
      </x:c>
      <x:c r="K9" s="25"/>
      <x:c r="L9" s="25"/>
      <x:c r="M9" s="24" t="str"/>
      <x:c r="N9" s="16" t="str">
        <x:v>Paid</x:v>
      </x:c>
      <x:c r="O9" s="19" t="n">
        <x:v>25</x:v>
      </x:c>
      <x:c r="P9" s="16" t="str">
        <x:v>CAD/hour; 20 hours/week</x:v>
      </x:c>
      <x:c r="Q9" s="16" t="str">
        <x:v>Vancouver; various locations</x:v>
      </x:c>
      <x:c r="R9" s="17"/>
      <x:c r="S9" s="17"/>
      <x:c r="T9" s="16" t="str">
        <x:v>Permanent part-time; daytime; starts ASAP</x:v>
      </x:c>
      <x:c r="U9" s="16" t="str">
        <x:f>IF(R9="","Dates unknown",IF(R9&gt;=Overview!$B$5,"After departure",IF(S9="","End unknown",IF(S9&gt;=Overview!$B$5,"Overlaps departure","Before departure"))))</x:f>
        <x:v>Dates unknown</x:v>
      </x:c>
      <x:c r="V9" s="16" t="str">
        <x:v>Authorized to work in Canada; English; experience an asset; sports filming; frequent travel</x:v>
      </x:c>
      <x:c r="W9" s="16" t="str">
        <x:v>Not stated</x:v>
      </x:c>
      <x:c r="X9" s="16" t="str">
        <x:v>Not stated</x:v>
      </x:c>
      <x:c r="Y9" s="16" t="str"/>
      <x:c r="Z9" s="16" t="str">
        <x:v>Application instructions behind Show how to apply</x:v>
      </x:c>
      <x:c r="AA9" s="16" t="str">
        <x:v>Show how to apply on Job Bank</x:v>
      </x:c>
      <x:c r="AB9" s="16" t="str"/>
      <x:c r="AC9" s="16" t="str">
        <x:v>https://ns.jobbank.gc.ca/jobsearch/jobposting/50427218</x:v>
      </x:c>
      <x:c r="AD9" s="16" t="str">
        <x:v>Job Bank #3686340</x:v>
      </x:c>
      <x:c r="AE9" s="17" t="d">
        <x:v>2026-10-15T00:00:00.000Z</x:v>
      </x:c>
      <x:c r="AF9" s="16" t="str">
        <x:v>Full text reviewed</x:v>
      </x:c>
      <x:c r="AG9" s="16" t="str">
        <x:v>Paid sports videography; ongoing employment may conflict with Dec 1 travel</x:v>
      </x:c>
      <x:c r="AH9" s="16" t="str">
        <x:v>Equipment supplied, exact schedule, application contact</x:v>
      </x:c>
    </x:row>
    <x:row r="10" ht="48" customHeight="1">
      <x:c r="A10" s="16" t="str">
        <x:v>MISTAKE-BEN</x:v>
      </x:c>
      <x:c r="B10" s="24" t="str">
        <x:v>Submitted</x:v>
      </x:c>
      <x:c r="C10" s="24" t="str">
        <x:v>High</x:v>
      </x:c>
      <x:c r="D10" s="16" t="str">
        <x:v>Acting — film / TV</x:v>
      </x:c>
      <x:c r="E10" s="16" t="str">
        <x:v>A Mistake</x:v>
      </x:c>
      <x:c r="F10" s="16" t="str">
        <x:v>Ben</x:v>
      </x:c>
      <x:c r="G10" s="17" t="d">
        <x:v>2026-10-20T00:00:00.000Z</x:v>
      </x:c>
      <x:c r="H10" s="18" t="n">
        <x:f>IF(G10="","",INT(G10)-INT(Overview!$B$4))</x:f>
        <x:v>0</x:v>
      </x:c>
      <x:c r="I10" s="16" t="str">
        <x:f>IF(OR(B10="Passed",B10="Closed"),"No action",IF(OR(B10="Submitted",B10="Waitlisted",B10="Callback",B10="Booked"),IF(L10="","Track outcome",IF(L10&lt;=Overview!$B$4,"Follow up","Follow-up scheduled")),IF(G10="","Confirm deadline",IF(H10&lt;0,"Deadline passed",IF(H10=0,"Due today",IF(H10&lt;=3,"Due within 3 days","Open queue"))))))</x:f>
        <x:v>Track outcome</x:v>
      </x:c>
      <x:c r="J10" s="16" t="str">
        <x:v>Watch for self-tape instructions and casting reply</x:v>
      </x:c>
      <x:c r="K10" s="25" t="d">
        <x:v>2026-10-20T00:00:00.000Z</x:v>
      </x:c>
      <x:c r="L10" s="25"/>
      <x:c r="M10" s="24" t="str"/>
      <x:c r="N10" s="16" t="str">
        <x:v>Unpaid / volunteer</x:v>
      </x:c>
      <x:c r="O10" s="19"/>
      <x:c r="P10" s="16" t="str"/>
      <x:c r="Q10" s="16" t="str">
        <x:v>Central Burnaby</x:v>
      </x:c>
      <x:c r="R10" s="17" t="d">
        <x:v>2026-10-29T00:00:00.000Z</x:v>
      </x:c>
      <x:c r="S10" s="17" t="d">
        <x:v>2026-10-29T00:00:00.000Z</x:v>
      </x:c>
      <x:c r="T10" s="16" t="str"/>
      <x:c r="U10" s="16" t="str">
        <x:f>IF(R10="","Dates unknown",IF(R10&gt;=Overview!$B$5,"After departure",IF(S10="","End unknown",IF(S10&gt;=Overview!$B$5,"Overlaps departure","Before departure"))))</x:f>
        <x:v>Before departure</x:v>
      </x:c>
      <x:c r="V10" s="16" t="str">
        <x:v>Late 20s, open ethnicity; awkward, straightforward, dry humour</x:v>
      </x:c>
      <x:c r="W10" s="16" t="str">
        <x:v>UBCP/ACTRA and non-union</x:v>
      </x:c>
      <x:c r="X10" s="16" t="str">
        <x:v>Self-tape instructions if shortlisted</x:v>
      </x:c>
      <x:c r="Y10" s="16" t="str"/>
      <x:c r="Z10" s="16" t="str">
        <x:v>Headshot, résumé, demo reel if available</x:v>
      </x:c>
      <x:c r="AA10" s="16" t="str">
        <x:v>amistakeshortfilm@gmail.com</x:v>
      </x:c>
      <x:c r="AB10" s="16" t="str">
        <x:v>[Your Name] – [Character Name] Audition</x:v>
      </x:c>
      <x:c r="AC10" s="16" t="str">
        <x:v>https://www.facebook.com/groups/hollywoodnorthvancouverfilmindustry</x:v>
      </x:c>
      <x:c r="AD10" s="16" t="str">
        <x:v>Hollywood North — Michael Jung</x:v>
      </x:c>
      <x:c r="AE10" s="17" t="d">
        <x:v>2026-10-15T00:00:00.000Z</x:v>
      </x:c>
      <x:c r="AF10" s="16" t="str">
        <x:v>Full text reviewed</x:v>
      </x:c>
      <x:c r="AG10" s="16" t="str">
        <x:v>7-minute short; demo reel material, photos, IMDb credit and food offered</x:v>
      </x:c>
      <x:c r="AH10" s="16" t="str">
        <x:v>Exact cutoff and call time; direct post link not captured</x:v>
      </x:c>
    </x:row>
    <x:row r="11" ht="48" customHeight="1">
      <x:c r="A11" s="16" t="str">
        <x:v>MISTAKE-SARAH</x:v>
      </x:c>
      <x:c r="B11" s="24" t="str">
        <x:v>To do</x:v>
      </x:c>
      <x:c r="C11" s="24" t="str">
        <x:v>High</x:v>
      </x:c>
      <x:c r="D11" s="16" t="str">
        <x:v>Acting — film / TV</x:v>
      </x:c>
      <x:c r="E11" s="16" t="str">
        <x:v>A Mistake</x:v>
      </x:c>
      <x:c r="F11" s="16" t="str">
        <x:v>Sarah</x:v>
      </x:c>
      <x:c r="G11" s="17" t="d">
        <x:v>2026-10-20T00:00:00.000Z</x:v>
      </x:c>
      <x:c r="H11" s="18" t="n">
        <x:f>IF(G11="","",INT(G11)-INT(Overview!$B$4))</x:f>
        <x:v>0</x:v>
      </x:c>
      <x:c r="I11" s="16" t="str">
        <x:f>IF(OR(B11="Passed",B11="Closed"),"No action",IF(OR(B11="Submitted",B11="Waitlisted",B11="Callback",B11="Booked"),IF(L11="","Track outcome",IF(L11&lt;=Overview!$B$4,"Follow up","Follow-up scheduled")),IF(G11="","Confirm deadline",IF(H11&lt;0,"Deadline passed",IF(H11=0,"Due today",IF(H11&lt;=3,"Due within 3 days","Open queue"))))))</x:f>
        <x:v>Due today</x:v>
      </x:c>
      <x:c r="J11" s="16" t="str">
        <x:v>Email headshot, résumé and optional reel</x:v>
      </x:c>
      <x:c r="K11" s="25"/>
      <x:c r="L11" s="25"/>
      <x:c r="M11" s="24" t="str"/>
      <x:c r="N11" s="16" t="str">
        <x:v>Unpaid / volunteer</x:v>
      </x:c>
      <x:c r="O11" s="19"/>
      <x:c r="P11" s="16" t="str"/>
      <x:c r="Q11" s="16" t="str">
        <x:v>Central Burnaby</x:v>
      </x:c>
      <x:c r="R11" s="17" t="d">
        <x:v>2026-10-29T00:00:00.000Z</x:v>
      </x:c>
      <x:c r="S11" s="17" t="d">
        <x:v>2026-10-29T00:00:00.000Z</x:v>
      </x:c>
      <x:c r="T11" s="16" t="str"/>
      <x:c r="U11" s="16" t="str">
        <x:f>IF(R11="","Dates unknown",IF(R11&gt;=Overview!$B$5,"After departure",IF(S11="","End unknown",IF(S11&gt;=Overview!$B$5,"Overlaps departure","Before departure"))))</x:f>
        <x:v>Before departure</x:v>
      </x:c>
      <x:c r="V11" s="16" t="str">
        <x:v>Late 20s, open ethnicity; outgoing schoolteacher, warm and sociable</x:v>
      </x:c>
      <x:c r="W11" s="16" t="str">
        <x:v>UBCP/ACTRA and non-union</x:v>
      </x:c>
      <x:c r="X11" s="16" t="str">
        <x:v>Self-tape instructions if shortlisted</x:v>
      </x:c>
      <x:c r="Y11" s="16" t="str"/>
      <x:c r="Z11" s="16" t="str">
        <x:v>Headshot, résumé, demo reel if available</x:v>
      </x:c>
      <x:c r="AA11" s="16" t="str">
        <x:v>amistakeshortfilm@gmail.com</x:v>
      </x:c>
      <x:c r="AB11" s="16" t="str">
        <x:v>[Your Name] – [Character Name] Audition</x:v>
      </x:c>
      <x:c r="AC11" s="16" t="str">
        <x:v>https://www.facebook.com/groups/hollywoodnorthvancouverfilmindustry</x:v>
      </x:c>
      <x:c r="AD11" s="16" t="str">
        <x:v>Hollywood North — Michael Jung</x:v>
      </x:c>
      <x:c r="AE11" s="17" t="d">
        <x:v>2026-10-15T00:00:00.000Z</x:v>
      </x:c>
      <x:c r="AF11" s="16" t="str">
        <x:v>Full text reviewed</x:v>
      </x:c>
      <x:c r="AG11" s="16" t="str">
        <x:v>7-minute short; demo reel material, photos, IMDb credit and food offered</x:v>
      </x:c>
      <x:c r="AH11" s="16" t="str">
        <x:v>Exact cutoff and call time; direct post link not captured</x:v>
      </x:c>
    </x:row>
    <x:row r="12" ht="48" customHeight="1">
      <x:c r="A12" s="16" t="str">
        <x:v>VCC-VIDEO</x:v>
      </x:c>
      <x:c r="B12" s="24" t="str">
        <x:v>Research needed</x:v>
      </x:c>
      <x:c r="C12" s="24" t="str">
        <x:v>Review fit</x:v>
      </x:c>
      <x:c r="D12" s="16" t="str">
        <x:v>Videography / editing</x:v>
      </x:c>
      <x:c r="E12" s="16" t="str">
        <x:v>Vancouver Community College</x:v>
      </x:c>
      <x:c r="F12" s="16" t="str">
        <x:v>Video and Digital Content Specialist</x:v>
      </x:c>
      <x:c r="G12" s="17" t="d">
        <x:v>2026-10-20T00:00:00.000Z</x:v>
      </x:c>
      <x:c r="H12" s="18" t="n">
        <x:f>IF(G12="","",INT(G12)-INT(Overview!$B$4))</x:f>
        <x:v>0</x:v>
      </x:c>
      <x:c r="I12" s="16" t="str">
        <x:f>IF(OR(B12="Passed",B12="Closed"),"No action",IF(OR(B12="Submitted",B12="Waitlisted",B12="Callback",B12="Booked"),IF(L12="","Track outcome",IF(L12&lt;=Overview!$B$4,"Follow up","Follow-up scheduled")),IF(G12="","Confirm deadline",IF(H12&lt;0,"Deadline passed",IF(H12=0,"Due today",IF(H12&lt;=3,"Due within 3 days","Open queue"))))))</x:f>
        <x:v>Due today</x:v>
      </x:c>
      <x:c r="J12" s="16" t="str">
        <x:v>Verify official vacancy before applying</x:v>
      </x:c>
      <x:c r="K12" s="25"/>
      <x:c r="L12" s="25"/>
      <x:c r="M12" s="24" t="str"/>
      <x:c r="N12" s="16" t="str">
        <x:v>Paid</x:v>
      </x:c>
      <x:c r="O12" s="19" t="n">
        <x:v>34.27</x:v>
      </x:c>
      <x:c r="P12" s="16" t="str">
        <x:v>CAD/hour minimum; range 34.27–40.15</x:v>
      </x:c>
      <x:c r="Q12" s="16" t="str">
        <x:v>Vancouver Broadway</x:v>
      </x:c>
      <x:c r="R12" s="17"/>
      <x:c r="S12" s="17"/>
      <x:c r="T12" s="16" t="str">
        <x:v>Full-time 35 hours/week; closing 23:59 Pacific per earlier listing</x:v>
      </x:c>
      <x:c r="U12" s="16" t="str">
        <x:f>IF(R12="","Dates unknown",IF(R12&gt;=Overview!$B$5,"After departure",IF(S12="","End unknown",IF(S12&gt;=Overview!$B$5,"Overlaps departure","Before departure"))))</x:f>
        <x:v>Dates unknown</x:v>
      </x:c>
      <x:c r="V12" s="16" t="str">
        <x:v>Relevant diploma/experience; Class 5 licence and vehicle; Adobe</x:v>
      </x:c>
      <x:c r="W12" s="16" t="str">
        <x:v>Not stated</x:v>
      </x:c>
      <x:c r="X12" s="16" t="str">
        <x:v>Not stated</x:v>
      </x:c>
      <x:c r="Y12" s="16" t="str"/>
      <x:c r="Z12" s="16" t="str">
        <x:v>Not stated</x:v>
      </x:c>
      <x:c r="AA12" s="16" t="str">
        <x:v>Not yet captured</x:v>
      </x:c>
      <x:c r="AB12" s="16" t="str"/>
      <x:c r="AC12" s="16" t="str">
        <x:v>https://gjobs.neogov.ca/careers/vcc/jobs/121069/video-and-digital-content-specialist</x:v>
      </x:c>
      <x:c r="AD12" s="16" t="str">
        <x:v>Earlier job listing; current page unavailable</x:v>
      </x:c>
      <x:c r="AE12" s="17" t="d">
        <x:v>2026-10-15T00:00:00.000Z</x:v>
      </x:c>
      <x:c r="AF12" s="16" t="str">
        <x:v>Recheck required — source currently inaccessible</x:v>
      </x:c>
      <x:c r="AG12" s="16" t="str">
        <x:v>Ongoing full-time role may conflict with Dec 1 departure</x:v>
      </x:c>
      <x:c r="AH12" s="16" t="str">
        <x:v>Current availability and complete application requirements</x:v>
      </x:c>
    </x:row>
    <x:row r="13" ht="48" customHeight="1">
      <x:c r="A13" s="16" t="str">
        <x:v>BELOVED-CAST</x:v>
      </x:c>
      <x:c r="B13" s="24" t="str">
        <x:v>To do</x:v>
      </x:c>
      <x:c r="C13" s="24" t="str">
        <x:v>High</x:v>
      </x:c>
      <x:c r="D13" s="16" t="str">
        <x:v>Acting — film / TV</x:v>
      </x:c>
      <x:c r="E13" s="16" t="str">
        <x:v>Beloved</x:v>
      </x:c>
      <x:c r="F13" s="16" t="str">
        <x:v>Multiple roles — image breakdown needs review</x:v>
      </x:c>
      <x:c r="G13" s="17" t="d">
        <x:v>2026-10-25T00:00:00.000Z</x:v>
      </x:c>
      <x:c r="H13" s="18" t="n">
        <x:f>IF(G13="","",INT(G13)-INT(Overview!$B$4))</x:f>
        <x:v>5</x:v>
      </x:c>
      <x:c r="I13" s="16" t="str">
        <x:f>IF(OR(B13="Passed",B13="Closed"),"No action",IF(OR(B13="Submitted",B13="Waitlisted",B13="Callback",B13="Booked"),IF(L13="","Track outcome",IF(L13&lt;=Overview!$B$4,"Follow up","Follow-up scheduled")),IF(G13="","Confirm deadline",IF(H13&lt;0,"Deadline passed",IF(H13=0,"Due today",IF(H13&lt;=3,"Due within 3 days","Open queue"))))))</x:f>
        <x:v>Open queue</x:v>
      </x:c>
      <x:c r="J13" s="16" t="str">
        <x:v>Review full role images, then email by Oct 25</x:v>
      </x:c>
      <x:c r="K13" s="25"/>
      <x:c r="L13" s="25"/>
      <x:c r="M13" s="24" t="str"/>
      <x:c r="N13" s="16" t="str">
        <x:v>Unknown</x:v>
      </x:c>
      <x:c r="O13" s="19"/>
      <x:c r="P13" s="16" t="str"/>
      <x:c r="Q13" s="16" t="str">
        <x:v>Greater Vancouver</x:v>
      </x:c>
      <x:c r="R13" s="17" t="d">
        <x:v>2026-11-19T00:00:00.000Z</x:v>
      </x:c>
      <x:c r="S13" s="17" t="d">
        <x:v>2026-11-26T00:00:00.000Z</x:v>
      </x:c>
      <x:c r="T13" s="16" t="str">
        <x:v>Tentative shoot window</x:v>
      </x:c>
      <x:c r="U13" s="16" t="str">
        <x:f>IF(R13="","Dates unknown",IF(R13&gt;=Overview!$B$5,"After departure",IF(S13="","End unknown",IF(S13&gt;=Overview!$B$5,"Overlaps departure","Before departure"))))</x:f>
        <x:v>Before departure</x:v>
      </x:c>
      <x:c r="V13" s="16" t="str">
        <x:v>Not stated</x:v>
      </x:c>
      <x:c r="W13" s="16" t="str">
        <x:v>Not stated</x:v>
      </x:c>
      <x:c r="X13" s="16" t="str">
        <x:v>In person at Emily Carr</x:v>
      </x:c>
      <x:c r="Y13" s="16" t="str">
        <x:v>Oct 29 and 30, time TBD</x:v>
      </x:c>
      <x:c r="Z13" s="16" t="str">
        <x:v>Résumé, headshot and requested character</x:v>
      </x:c>
      <x:c r="AA13" s="16" t="str">
        <x:v>dantetroyo1809@gmail.com</x:v>
      </x:c>
      <x:c r="AB13" s="16" t="str"/>
      <x:c r="AC13" s="16" t="str">
        <x:v>https://www.facebook.com/groups/233914560287649/</x:v>
      </x:c>
      <x:c r="AD13" s="16" t="str">
        <x:v>BC Casting Call — Emma Grace, posted Sep 28</x:v>
      </x:c>
      <x:c r="AE13" s="17" t="d">
        <x:v>2026-10-15T00:00:00.000Z</x:v>
      </x:c>
      <x:c r="AF13" s="16" t="str">
        <x:v>Text verified; role images incomplete</x:v>
      </x:c>
      <x:c r="AG13" s="16" t="str">
        <x:v>ECUAD thesis film; reel/credit terms not stated</x:v>
      </x:c>
      <x:c r="AH13" s="16" t="str">
        <x:v>Full eligibility breakdown, pay, union status, direct post URL</x:v>
      </x:c>
    </x:row>
    <x:row r="14" ht="48" customHeight="1">
      <x:c r="A14" s="16" t="str">
        <x:v>INTERSTICE-BG</x:v>
      </x:c>
      <x:c r="B14" s="24" t="str">
        <x:v>To do</x:v>
      </x:c>
      <x:c r="C14" s="24" t="str">
        <x:v>High</x:v>
      </x:c>
      <x:c r="D14" s="16" t="str">
        <x:v>Background / stand-in</x:v>
      </x:c>
      <x:c r="E14" s="16" t="str">
        <x:v>INTERSTICE</x:v>
      </x:c>
      <x:c r="F14" s="16" t="str">
        <x:v>Background extras</x:v>
      </x:c>
      <x:c r="G14" s="17"/>
      <x:c r="H14" s="18" t="str">
        <x:f>IF(G14="","",INT(G14)-INT(Overview!$B$4))</x:f>
      </x:c>
      <x:c r="I14" s="16" t="str">
        <x:f>IF(OR(B14="Passed",B14="Closed"),"No action",IF(OR(B14="Submitted",B14="Waitlisted",B14="Callback",B14="Booked"),IF(L14="","Track outcome",IF(L14&lt;=Overview!$B$4,"Follow up","Follow-up scheduled")),IF(G14="","Confirm deadline",IF(H14&lt;0,"Deadline passed",IF(H14=0,"Due today",IF(H14&lt;=3,"Due within 3 days","Open queue"))))))</x:f>
        <x:v>Confirm deadline</x:v>
      </x:c>
      <x:c r="J14" s="16" t="str">
        <x:v>Email headshot and date availability</x:v>
      </x:c>
      <x:c r="K14" s="25"/>
      <x:c r="L14" s="25"/>
      <x:c r="M14" s="24" t="str"/>
      <x:c r="N14" s="16" t="str">
        <x:v>Paid</x:v>
      </x:c>
      <x:c r="O14" s="19" t="n">
        <x:v>18.25</x:v>
      </x:c>
      <x:c r="P14" s="16" t="str">
        <x:v>Per hour; currency not explicitly stated</x:v>
      </x:c>
      <x:c r="Q14" s="16" t="str">
        <x:v>Vancouver / Fraser Valley</x:v>
      </x:c>
      <x:c r="R14" s="17" t="d">
        <x:v>2026-10-26T00:00:00.000Z</x:v>
      </x:c>
      <x:c r="S14" s="17" t="d">
        <x:v>2026-11-05T00:00:00.000Z</x:v>
      </x:c>
      <x:c r="T14" s="16" t="str">
        <x:v>Oct 26, Nov 4, Nov 5, 2026; confirm which days required</x:v>
      </x:c>
      <x:c r="U14" s="16" t="str">
        <x:f>IF(R14="","Dates unknown",IF(R14&gt;=Overview!$B$5,"After departure",IF(S14="","End unknown",IF(S14&gt;=Overview!$B$5,"Overlaps departure","Before departure"))))</x:f>
        <x:v>Before departure</x:v>
      </x:c>
      <x:c r="V14" s="16" t="str">
        <x:v>Ages 25–55</x:v>
      </x:c>
      <x:c r="W14" s="16" t="str">
        <x:v>Non-union</x:v>
      </x:c>
      <x:c r="X14" s="16" t="str">
        <x:v>Not stated</x:v>
      </x:c>
      <x:c r="Y14" s="16" t="str"/>
      <x:c r="Z14" s="16" t="str">
        <x:v>Headshot and availability for listed dates</x:v>
      </x:c>
      <x:c r="AA14" s="16" t="str">
        <x:v>Auditions@EvoloProductions.com</x:v>
      </x:c>
      <x:c r="AB14" s="16" t="str"/>
      <x:c r="AC14" s="16" t="str">
        <x:v>https://www.facebook.com/groups/233914560287649/posts/2997711400574604/</x:v>
      </x:c>
      <x:c r="AD14" s="16" t="str">
        <x:v>BC Casting Call — Kate Obbagy / Evolo Productions</x:v>
      </x:c>
      <x:c r="AE14" s="17" t="d">
        <x:v>2026-10-15T00:00:00.000Z</x:v>
      </x:c>
      <x:c r="AF14" s="16" t="str">
        <x:v>Full text reviewed</x:v>
      </x:c>
      <x:c r="AG14" s="16" t="str">
        <x:v>Paid feature-film set experience; no reel/credit promise</x:v>
      </x:c>
      <x:c r="AH14" s="16" t="str">
        <x:v>Application deadline, exact locations, hours and audition format</x:v>
      </x:c>
    </x:row>
    <x:row r="15" ht="48" customHeight="1">
      <x:c r="A15" s="16" t="str">
        <x:v>SPK-ROSTER</x:v>
      </x:c>
      <x:c r="B15" s="24" t="str">
        <x:v>To do</x:v>
      </x:c>
      <x:c r="C15" s="24" t="str">
        <x:v>High</x:v>
      </x:c>
      <x:c r="D15" s="16" t="str">
        <x:v>Commercial / comedy</x:v>
      </x:c>
      <x:c r="E15" s="16" t="str">
        <x:v>Smashed Potato Kids</x:v>
      </x:c>
      <x:c r="F15" s="16" t="str">
        <x:v>Paid short-form comedy roster</x:v>
      </x:c>
      <x:c r="G15" s="17"/>
      <x:c r="H15" s="18" t="str">
        <x:f>IF(G15="","",INT(G15)-INT(Overview!$B$4))</x:f>
      </x:c>
      <x:c r="I15" s="16" t="str">
        <x:f>IF(OR(B15="Passed",B15="Closed"),"No action",IF(OR(B15="Submitted",B15="Waitlisted",B15="Callback",B15="Booked"),IF(L15="","Track outcome",IF(L15&lt;=Overview!$B$4,"Follow up","Follow-up scheduled")),IF(G15="","Confirm deadline",IF(H15&lt;0,"Deadline passed",IF(H15=0,"Due today",IF(H15&lt;=3,"Due within 3 days","Open queue"))))))</x:f>
        <x:v>Confirm deadline</x:v>
      </x:c>
      <x:c r="J15" s="16" t="str">
        <x:v>Review form and apply to talent roster</x:v>
      </x:c>
      <x:c r="K15" s="25"/>
      <x:c r="L15" s="25"/>
      <x:c r="M15" s="24" t="str"/>
      <x:c r="N15" s="16" t="str">
        <x:v>Paid</x:v>
      </x:c>
      <x:c r="O15" s="19"/>
      <x:c r="P15" s="16" t="str"/>
      <x:c r="Q15" s="16" t="str">
        <x:v>Greater Vancouver</x:v>
      </x:c>
      <x:c r="R15" s="17"/>
      <x:c r="S15" s="17"/>
      <x:c r="T15" s="16" t="str"/>
      <x:c r="U15" s="16" t="str">
        <x:f>IF(R15="","Dates unknown",IF(R15&gt;=Overview!$B$5,"After departure",IF(S15="","End unknown",IF(S15&gt;=Overview!$B$5,"Overlaps departure","Before departure"))))</x:f>
        <x:v>Dates unknown</x:v>
      </x:c>
      <x:c r="V15" s="16" t="str">
        <x:v>Mid-20s currently sought; everyone encouraged to apply</x:v>
      </x:c>
      <x:c r="W15" s="16" t="str">
        <x:v>Non-union</x:v>
      </x:c>
      <x:c r="X15" s="16" t="str">
        <x:v>Not stated</x:v>
      </x:c>
      <x:c r="Y15" s="16" t="str"/>
      <x:c r="Z15" s="16" t="str">
        <x:v>Complete form; exact fields not yet reviewed</x:v>
      </x:c>
      <x:c r="AA15" s="16" t="str">
        <x:v>SPK application form</x:v>
      </x:c>
      <x:c r="AB15" s="16" t="str"/>
      <x:c r="AC15" s="16" t="str">
        <x:v>https://docs.google.com/forms/d/e/1FAIpQLSeJZ6K7Mg0E1mCmlvZ-bGNWX0LfTknifczE3mAIsxcOj8cpPA/viewform?usp=header</x:v>
      </x:c>
      <x:c r="AD15" s="16" t="str">
        <x:v>Hollywood North — SPK</x:v>
      </x:c>
      <x:c r="AE15" s="17" t="d">
        <x:v>2026-10-15T00:00:00.000Z</x:v>
      </x:c>
      <x:c r="AF15" s="16" t="str">
        <x:v>Full text reviewed</x:v>
      </x:c>
      <x:c r="AG15" s="16" t="str">
        <x:v>Paid comedy/client content; roster is not a confirmed booking</x:v>
      </x:c>
      <x:c r="AH15" s="16" t="str">
        <x:v>Rate, specific bookings, shoot dates, location details; form not inspected</x:v>
      </x:c>
    </x:row>
    <x:row r="16" ht="48" customHeight="1">
      <x:c r="A16" s="16" t="str">
        <x:v>MATT-MUSIC-BG</x:v>
      </x:c>
      <x:c r="B16" s="24" t="str">
        <x:v>To do</x:v>
      </x:c>
      <x:c r="C16" s="24" t="str">
        <x:v>Review fit</x:v>
      </x:c>
      <x:c r="D16" s="16" t="str">
        <x:v>Background / stand-in</x:v>
      </x:c>
      <x:c r="E16" s="16" t="str">
        <x:v>Matt Smiley music video</x:v>
      </x:c>
      <x:c r="F16" s="16" t="str">
        <x:v>10–20 bar-scene extras</x:v>
      </x:c>
      <x:c r="G16" s="17"/>
      <x:c r="H16" s="18" t="str">
        <x:f>IF(G16="","",INT(G16)-INT(Overview!$B$4))</x:f>
      </x:c>
      <x:c r="I16" s="16" t="str">
        <x:f>IF(OR(B16="Passed",B16="Closed"),"No action",IF(OR(B16="Submitted",B16="Waitlisted",B16="Callback",B16="Booked"),IF(L16="","Track outcome",IF(L16&lt;=Overview!$B$4,"Follow up","Follow-up scheduled")),IF(G16="","Confirm deadline",IF(H16&lt;0,"Deadline passed",IF(H16=0,"Due today",IF(H16&lt;=3,"Due within 3 days","Open queue"))))))</x:f>
        <x:v>Confirm deadline</x:v>
      </x:c>
      <x:c r="J16" s="16" t="str">
        <x:v>Confirm date/time, compensation and availability with poster</x:v>
      </x:c>
      <x:c r="K16" s="25"/>
      <x:c r="L16" s="25"/>
      <x:c r="M16" s="24" t="str"/>
      <x:c r="N16" s="16" t="str">
        <x:v>Unknown</x:v>
      </x:c>
      <x:c r="O16" s="19"/>
      <x:c r="P16" s="16" t="str"/>
      <x:c r="Q16" s="16" t="str">
        <x:v>Langley Golf Centre</x:v>
      </x:c>
      <x:c r="R16" s="17"/>
      <x:c r="S16" s="17"/>
      <x:c r="T16" s="16" t="str">
        <x:v>Oct 24, 9–12; AM/PM and year not stated in text</x:v>
      </x:c>
      <x:c r="U16" s="16" t="str">
        <x:f>IF(R16="","Dates unknown",IF(R16&gt;=Overview!$B$5,"After departure",IF(S16="","End unknown",IF(S16&gt;=Overview!$B$5,"Overlaps departure","Before departure"))))</x:f>
        <x:v>Dates unknown</x:v>
      </x:c>
      <x:c r="V16" s="16" t="str">
        <x:v>Not stated</x:v>
      </x:c>
      <x:c r="W16" s="16" t="str">
        <x:v>Not stated</x:v>
      </x:c>
      <x:c r="X16" s="16" t="str">
        <x:v>Not stated</x:v>
      </x:c>
      <x:c r="Y16" s="16" t="str"/>
      <x:c r="Z16" s="16" t="str">
        <x:v>Expression of interest; other materials unspecified</x:v>
      </x:c>
      <x:c r="AA16" s="16" t="str">
        <x:v>Matt Smiley via source post (user sends message)</x:v>
      </x:c>
      <x:c r="AB16" s="16" t="str"/>
      <x:c r="AC16" s="16" t="str">
        <x:v>https://www.facebook.com/groups/233914560287649/</x:v>
      </x:c>
      <x:c r="AD16" s="16" t="str">
        <x:v>BC Casting Call — Matt Smiley</x:v>
      </x:c>
      <x:c r="AE16" s="17" t="d">
        <x:v>2026-10-15T00:00:00.000Z</x:v>
      </x:c>
      <x:c r="AF16" s="16" t="str">
        <x:v>Text verified; date details need confirmation</x:v>
      </x:c>
      <x:c r="AG16" s="16" t="str">
        <x:v>Music video background experience; footage/credit not promised</x:v>
      </x:c>
      <x:c r="AH16" s="16" t="str">
        <x:v>Pay, year, AM/PM, deadline, eligibility, direct post link</x:v>
      </x:c>
    </x:row>
    <x:row r="17" ht="48" customHeight="1">
      <x:c r="A17" s="16" t="str">
        <x:v>MISTAKE-DOP</x:v>
      </x:c>
      <x:c r="B17" s="24" t="str">
        <x:v>To do</x:v>
      </x:c>
      <x:c r="C17" s="24" t="str">
        <x:v>High</x:v>
      </x:c>
      <x:c r="D17" s="16" t="str">
        <x:v>DOP / camera / crew</x:v>
      </x:c>
      <x:c r="E17" s="16" t="str">
        <x:v>A Mistake</x:v>
      </x:c>
      <x:c r="F17" s="16" t="str">
        <x:v>Director of Photography</x:v>
      </x:c>
      <x:c r="G17" s="17"/>
      <x:c r="H17" s="18" t="str">
        <x:f>IF(G17="","",INT(G17)-INT(Overview!$B$4))</x:f>
      </x:c>
      <x:c r="I17" s="16" t="str">
        <x:f>IF(OR(B17="Passed",B17="Closed"),"No action",IF(OR(B17="Submitted",B17="Waitlisted",B17="Callback",B17="Booked"),IF(L17="","Track outcome",IF(L17&lt;=Overview!$B$4,"Follow up","Follow-up scheduled")),IF(G17="","Confirm deadline",IF(H17&lt;0,"Deadline passed",IF(H17=0,"Due today",IF(H17&lt;=3,"Due within 3 days","Open queue"))))))</x:f>
        <x:v>Confirm deadline</x:v>
      </x:c>
      <x:c r="J17" s="16" t="str">
        <x:v>Send work samples and discuss camera/lens needs</x:v>
      </x:c>
      <x:c r="K17" s="25"/>
      <x:c r="L17" s="25"/>
      <x:c r="M17" s="24" t="str"/>
      <x:c r="N17" s="16" t="str">
        <x:v>Unpaid / volunteer</x:v>
      </x:c>
      <x:c r="O17" s="19"/>
      <x:c r="P17" s="16" t="str"/>
      <x:c r="Q17" s="16" t="str">
        <x:v>Deer Lake, Burnaby</x:v>
      </x:c>
      <x:c r="R17" s="17" t="d">
        <x:v>2026-10-29T00:00:00.000Z</x:v>
      </x:c>
      <x:c r="S17" s="17" t="d">
        <x:v>2026-10-29T00:00:00.000Z</x:v>
      </x:c>
      <x:c r="T17" s="16" t="str"/>
      <x:c r="U17" s="16" t="str">
        <x:f>IF(R17="","Dates unknown",IF(R17&gt;=Overview!$B$5,"After departure",IF(S17="","End unknown",IF(S17&gt;=Overview!$B$5,"Overlaps departure","Before departure"))))</x:f>
        <x:v>Before departure</x:v>
      </x:c>
      <x:c r="V17" s="16" t="str">
        <x:v>Not stated</x:v>
      </x:c>
      <x:c r="W17" s="16" t="str">
        <x:v>Not stated</x:v>
      </x:c>
      <x:c r="X17" s="16" t="str">
        <x:v>Not stated</x:v>
      </x:c>
      <x:c r="Y17" s="16" t="str"/>
      <x:c r="Z17" s="16" t="str">
        <x:v>Introduction and work link</x:v>
      </x:c>
      <x:c r="AA17" s="16" t="str">
        <x:v>amistakeshortfilm@gmail.com</x:v>
      </x:c>
      <x:c r="AB17" s="16" t="str"/>
      <x:c r="AC17" s="16" t="str">
        <x:v>https://www.facebook.com/groups/23366837344/</x:v>
      </x:c>
      <x:c r="AD17" s="16" t="str">
        <x:v>Vancouver Independent Film Crew — Michael Jung</x:v>
      </x:c>
      <x:c r="AE17" s="17" t="d">
        <x:v>2026-10-15T00:00:00.000Z</x:v>
      </x:c>
      <x:c r="AF17" s="16" t="str">
        <x:v>Full text reviewed</x:v>
      </x:c>
      <x:c r="AG17" s="16" t="str">
        <x:v>Outdoor naturalistic 7-minute short. Own camera preferred; equipment negotiable. FX30 could be relevant.</x:v>
      </x:c>
      <x:c r="AH17" s="16" t="str">
        <x:v>DOP deadline, hours, specific lenses, credit/reel terms</x:v>
      </x:c>
    </x:row>
    <x:row r="18" ht="48" customHeight="1">
      <x:c r="A18" s="16" t="str">
        <x:v>DOGS-VICTOR</x:v>
      </x:c>
      <x:c r="B18" s="24" t="str">
        <x:v>To do</x:v>
      </x:c>
      <x:c r="C18" s="24" t="str">
        <x:v>Later / travel conflict</x:v>
      </x:c>
      <x:c r="D18" s="16" t="str">
        <x:v>Theatre / live performance</x:v>
      </x:c>
      <x:c r="E18" s="16" t="str">
        <x:v>Four Dogs and a Bone</x:v>
      </x:c>
      <x:c r="F18" s="16" t="str">
        <x:v>Victor</x:v>
      </x:c>
      <x:c r="G18" s="17"/>
      <x:c r="H18" s="18" t="str">
        <x:f>IF(G18="","",INT(G18)-INT(Overview!$B$4))</x:f>
      </x:c>
      <x:c r="I18" s="16" t="str">
        <x:f>IF(OR(B18="Passed",B18="Closed"),"No action",IF(OR(B18="Submitted",B18="Waitlisted",B18="Callback",B18="Booked"),IF(L18="","Track outcome",IF(L18&lt;=Overview!$B$4,"Follow up","Follow-up scheduled")),IF(G18="","Confirm deadline",IF(H18&lt;0,"Deadline passed",IF(H18=0,"Due today",IF(H18&lt;=3,"Due within 3 days","Open queue"))))))</x:f>
        <x:v>Confirm deadline</x:v>
      </x:c>
      <x:c r="J18" s="16" t="str">
        <x:v>Confirm post-trip availability before audition request</x:v>
      </x:c>
      <x:c r="K18" s="25"/>
      <x:c r="L18" s="25"/>
      <x:c r="M18" s="24" t="str"/>
      <x:c r="N18" s="16" t="str">
        <x:v>Honorarium</x:v>
      </x:c>
      <x:c r="O18" s="19"/>
      <x:c r="P18" s="16" t="str"/>
      <x:c r="Q18" s="16" t="str">
        <x:v>White Rock</x:v>
      </x:c>
      <x:c r="R18" s="17" t="d">
        <x:v>2027-02-04T00:00:00.000Z</x:v>
      </x:c>
      <x:c r="S18" s="17" t="d">
        <x:v>2027-02-07T00:00:00.000Z</x:v>
      </x:c>
      <x:c r="T18" s="16" t="str"/>
      <x:c r="U18" s="16" t="str">
        <x:f>IF(R18="","Dates unknown",IF(R18&gt;=Overview!$B$5,"After departure",IF(S18="","End unknown",IF(S18&gt;=Overview!$B$5,"Overlaps departure","Before departure"))))</x:f>
        <x:v>After departure</x:v>
      </x:c>
      <x:c r="V18" s="16" t="str">
        <x:v>Male late 20s–mid 30s</x:v>
      </x:c>
      <x:c r="W18" s="16" t="str">
        <x:v>Not stated</x:v>
      </x:c>
      <x:c r="X18" s="16" t="str">
        <x:v>In person; 2–3 minute comedic monologue</x:v>
      </x:c>
      <x:c r="Y18" s="16" t="str">
        <x:v>Nov 12, 6–9pm; Peninsula Studio Theatre, 14600 North Bluff Rd</x:v>
      </x:c>
      <x:c r="Z18" s="16" t="str">
        <x:v>Headshot and résumé; prepare comedic monologue; sides/time if selected</x:v>
      </x:c>
      <x:c r="AA18" s="16" t="str">
        <x:v>janet@peninsulaproductions.org — Janet Ellis</x:v>
      </x:c>
      <x:c r="AB18" s="16" t="str"/>
      <x:c r="AC18" s="16" t="str">
        <x:v>https://www.facebook.com/groups/233914560287649/</x:v>
      </x:c>
      <x:c r="AD18" s="16" t="str">
        <x:v>BC Casting Call — Michele Partridge / Peninsula Productions</x:v>
      </x:c>
      <x:c r="AE18" s="17" t="d">
        <x:v>2026-10-15T00:00:00.000Z</x:v>
      </x:c>
      <x:c r="AF18" s="16" t="str">
        <x:v>Full text reviewed</x:v>
      </x:c>
      <x:c r="AG18" s="16" t="str">
        <x:v>Staged reading performance; rehearsals TBD</x:v>
      </x:c>
      <x:c r="AH18" s="16" t="str">
        <x:v>Submission deadline, honorarium amount, rehearsal schedule</x:v>
      </x:c>
    </x:row>
    <x:row r="19" ht="48" customHeight="1">
      <x:c r="A19" s="16" t="str">
        <x:v>DOGS-BRENDA</x:v>
      </x:c>
      <x:c r="B19" s="24" t="str">
        <x:v>To do</x:v>
      </x:c>
      <x:c r="C19" s="24" t="str">
        <x:v>Later / travel conflict</x:v>
      </x:c>
      <x:c r="D19" s="16" t="str">
        <x:v>Theatre / live performance</x:v>
      </x:c>
      <x:c r="E19" s="16" t="str">
        <x:v>Four Dogs and a Bone</x:v>
      </x:c>
      <x:c r="F19" s="16" t="str">
        <x:v>Brenda</x:v>
      </x:c>
      <x:c r="G19" s="17"/>
      <x:c r="H19" s="18" t="str">
        <x:f>IF(G19="","",INT(G19)-INT(Overview!$B$4))</x:f>
      </x:c>
      <x:c r="I19" s="16" t="str">
        <x:f>IF(OR(B19="Passed",B19="Closed"),"No action",IF(OR(B19="Submitted",B19="Waitlisted",B19="Callback",B19="Booked"),IF(L19="","Track outcome",IF(L19&lt;=Overview!$B$4,"Follow up","Follow-up scheduled")),IF(G19="","Confirm deadline",IF(H19&lt;0,"Deadline passed",IF(H19=0,"Due today",IF(H19&lt;=3,"Due within 3 days","Open queue"))))))</x:f>
        <x:v>Confirm deadline</x:v>
      </x:c>
      <x:c r="J19" s="16" t="str">
        <x:v>Confirm post-trip availability before audition request</x:v>
      </x:c>
      <x:c r="K19" s="25"/>
      <x:c r="L19" s="25"/>
      <x:c r="M19" s="24" t="str"/>
      <x:c r="N19" s="16" t="str">
        <x:v>Honorarium</x:v>
      </x:c>
      <x:c r="O19" s="19"/>
      <x:c r="P19" s="16" t="str"/>
      <x:c r="Q19" s="16" t="str">
        <x:v>White Rock</x:v>
      </x:c>
      <x:c r="R19" s="17" t="d">
        <x:v>2027-02-04T00:00:00.000Z</x:v>
      </x:c>
      <x:c r="S19" s="17" t="d">
        <x:v>2027-02-07T00:00:00.000Z</x:v>
      </x:c>
      <x:c r="T19" s="16" t="str"/>
      <x:c r="U19" s="16" t="str">
        <x:f>IF(R19="","Dates unknown",IF(R19&gt;=Overview!$B$5,"After departure",IF(S19="","End unknown",IF(S19&gt;=Overview!$B$5,"Overlaps departure","Before departure"))))</x:f>
        <x:v>After departure</x:v>
      </x:c>
      <x:c r="V19" s="16" t="str">
        <x:v>Female mid-20s–early 30s</x:v>
      </x:c>
      <x:c r="W19" s="16" t="str">
        <x:v>Not stated</x:v>
      </x:c>
      <x:c r="X19" s="16" t="str">
        <x:v>In person; 2–3 minute comedic monologue</x:v>
      </x:c>
      <x:c r="Y19" s="16" t="str">
        <x:v>Nov 12, 6–9pm; Peninsula Studio Theatre, 14600 North Bluff Rd</x:v>
      </x:c>
      <x:c r="Z19" s="16" t="str">
        <x:v>Headshot and résumé; prepare comedic monologue; sides/time if selected</x:v>
      </x:c>
      <x:c r="AA19" s="16" t="str">
        <x:v>janet@peninsulaproductions.org — Janet Ellis</x:v>
      </x:c>
      <x:c r="AB19" s="16" t="str"/>
      <x:c r="AC19" s="16" t="str">
        <x:v>https://www.facebook.com/groups/233914560287649/</x:v>
      </x:c>
      <x:c r="AD19" s="16" t="str">
        <x:v>BC Casting Call — Michele Partridge / Peninsula Productions</x:v>
      </x:c>
      <x:c r="AE19" s="17" t="d">
        <x:v>2026-10-15T00:00:00.000Z</x:v>
      </x:c>
      <x:c r="AF19" s="16" t="str">
        <x:v>Full text reviewed</x:v>
      </x:c>
      <x:c r="AG19" s="16" t="str">
        <x:v>Staged reading performance; rehearsals TBD</x:v>
      </x:c>
      <x:c r="AH19" s="16" t="str">
        <x:v>Submission deadline, honorarium amount, rehearsal schedule</x:v>
      </x:c>
    </x:row>
    <x:row r="20" ht="48" customHeight="1">
      <x:c r="A20" s="16" t="str">
        <x:v>SPIDER-PARTY</x:v>
      </x:c>
      <x:c r="B20" s="24" t="str">
        <x:v>To do</x:v>
      </x:c>
      <x:c r="C20" s="24" t="str">
        <x:v>Review fit</x:v>
      </x:c>
      <x:c r="D20" s="16" t="str">
        <x:v>Theatre / live performance</x:v>
      </x:c>
      <x:c r="E20" s="16" t="str">
        <x:v>Birthday appearance</x:v>
      </x:c>
      <x:c r="F20" s="16" t="str">
        <x:v>Spider-Man performer</x:v>
      </x:c>
      <x:c r="G20" s="17"/>
      <x:c r="H20" s="18" t="str">
        <x:f>IF(G20="","",INT(G20)-INT(Overview!$B$4))</x:f>
      </x:c>
      <x:c r="I20" s="16" t="str">
        <x:f>IF(OR(B20="Passed",B20="Closed"),"No action",IF(OR(B20="Submitted",B20="Waitlisted",B20="Callback",B20="Booked"),IF(L20="","Track outcome",IF(L20&lt;=Overview!$B$4,"Follow up","Follow-up scheduled")),IF(G20="","Confirm deadline",IF(H20&lt;0,"Deadline passed",IF(H20=0,"Due today",IF(H20&lt;=3,"Due within 3 days","Open queue"))))))</x:f>
        <x:v>Confirm deadline</x:v>
      </x:c>
      <x:c r="J20" s="16" t="str">
        <x:v>Confirm booking still open and safe physical-performance expectations</x:v>
      </x:c>
      <x:c r="K20" s="25"/>
      <x:c r="L20" s="25"/>
      <x:c r="M20" s="24" t="str"/>
      <x:c r="N20" s="16" t="str">
        <x:v>Paid</x:v>
      </x:c>
      <x:c r="O20" s="19" t="n">
        <x:v>100</x:v>
      </x:c>
      <x:c r="P20" s="16" t="str">
        <x:v>30 minutes + dinner; currency not specified</x:v>
      </x:c>
      <x:c r="Q20" s="16" t="str">
        <x:v>New Westminster</x:v>
      </x:c>
      <x:c r="R20" s="17"/>
      <x:c r="S20" s="17"/>
      <x:c r="T20" s="16" t="str">
        <x:v>Oct 17 around 6pm; year not explicit in captured text</x:v>
      </x:c>
      <x:c r="U20" s="16" t="str">
        <x:f>IF(R20="","Dates unknown",IF(R20&gt;=Overview!$B$5,"After departure",IF(S20="","End unknown",IF(S20&gt;=Overview!$B$5,"Overlaps departure","Before departure"))))</x:f>
        <x:v>Dates unknown</x:v>
      </x:c>
      <x:c r="V20" s="16" t="str">
        <x:v>In-character improvisation; Spider-Man resemblance; jump/backflip preferred</x:v>
      </x:c>
      <x:c r="W20" s="16" t="str">
        <x:v>Not stated</x:v>
      </x:c>
      <x:c r="X20" s="16" t="str">
        <x:v>Not stated</x:v>
      </x:c>
      <x:c r="Y20" s="16" t="str"/>
      <x:c r="Z20" s="16" t="str">
        <x:v>Not stated</x:v>
      </x:c>
      <x:c r="AA20" s="16" t="str">
        <x:v>Liz Annie via source post (user sends message)</x:v>
      </x:c>
      <x:c r="AB20" s="16" t="str"/>
      <x:c r="AC20" s="16" t="str">
        <x:v>https://www.facebook.com/groups/272268773737408</x:v>
      </x:c>
      <x:c r="AD20" s="16" t="str">
        <x:v>Paid Only 10K — Liz Annie</x:v>
      </x:c>
      <x:c r="AE20" s="17" t="d">
        <x:v>2026-10-15T00:00:00.000Z</x:v>
      </x:c>
      <x:c r="AF20" s="16" t="str">
        <x:v>Previously read; availability needs reconfirmation</x:v>
      </x:c>
      <x:c r="AG20" s="16" t="str">
        <x:v>Live improv gig; costume rental handled by poster</x:v>
      </x:c>
      <x:c r="AH20" s="16" t="str">
        <x:v>Year, direct post URL, exact required skills, application deadline</x:v>
      </x:c>
    </x:row>
    <x:row r="21" ht="48" customHeight="1">
      <x:c r="A21" s="16" t="str">
        <x:v>PATIENT-60</x:v>
      </x:c>
      <x:c r="B21" s="24" t="str">
        <x:v>To do</x:v>
      </x:c>
      <x:c r="C21" s="24" t="str">
        <x:v>Review fit</x:v>
      </x:c>
      <x:c r="D21" s="16" t="str">
        <x:v>Theatre / live performance</x:v>
      </x:c>
      <x:c r="E21" s="16" t="str">
        <x:v>Standardized patient contract</x:v>
      </x:c>
      <x:c r="F21" s="16" t="str">
        <x:v>Man who can play 60</x:v>
      </x:c>
      <x:c r="G21" s="17"/>
      <x:c r="H21" s="18" t="str">
        <x:f>IF(G21="","",INT(G21)-INT(Overview!$B$4))</x:f>
      </x:c>
      <x:c r="I21" s="16" t="str">
        <x:f>IF(OR(B21="Passed",B21="Closed"),"No action",IF(OR(B21="Submitted",B21="Waitlisted",B21="Callback",B21="Booked"),IF(L21="","Track outcome",IF(L21&lt;=Overview!$B$4,"Follow up","Follow-up scheduled")),IF(G21="","Confirm deadline",IF(H21&lt;0,"Deadline passed",IF(H21=0,"Due today",IF(H21&lt;=3,"Due within 3 days","Open queue"))))))</x:f>
        <x:v>Confirm deadline</x:v>
      </x:c>
      <x:c r="J21" s="16" t="str">
        <x:v>Check eligibility and reconfirm date before booking</x:v>
      </x:c>
      <x:c r="K21" s="25"/>
      <x:c r="L21" s="25"/>
      <x:c r="M21" s="24" t="str"/>
      <x:c r="N21" s="16" t="str">
        <x:v>Paid</x:v>
      </x:c>
      <x:c r="O21" s="19"/>
      <x:c r="P21" s="16" t="str"/>
      <x:c r="Q21" s="16" t="str">
        <x:v>Vancouver</x:v>
      </x:c>
      <x:c r="R21" s="17"/>
      <x:c r="S21" s="17"/>
      <x:c r="T21" s="16" t="str">
        <x:v>Oct 18, approx 7:30am–5pm + 1 paid Zoom training hour; year not explicit</x:v>
      </x:c>
      <x:c r="U21" s="16" t="str">
        <x:f>IF(R21="","Dates unknown",IF(R21&gt;=Overview!$B$5,"After departure",IF(S21="","End unknown",IF(S21&gt;=Overview!$B$5,"Overlaps departure","Before departure"))))</x:f>
        <x:v>Dates unknown</x:v>
      </x:c>
      <x:c r="V21" s="16" t="str">
        <x:v>Male, can play 60; standardized patient experience helpful not required</x:v>
      </x:c>
      <x:c r="W21" s="16" t="str">
        <x:v>Not stated</x:v>
      </x:c>
      <x:c r="X21" s="16" t="str">
        <x:v>Not stated</x:v>
      </x:c>
      <x:c r="Y21" s="16" t="str"/>
      <x:c r="Z21" s="16" t="str">
        <x:v>Not stated</x:v>
      </x:c>
      <x:c r="AA21" s="16" t="str">
        <x:v>Book interview via Calendly</x:v>
      </x:c>
      <x:c r="AB21" s="16" t="str"/>
      <x:c r="AC21" s="16" t="str">
        <x:v>https://calendly.com/standardizedpatient-info/15min</x:v>
      </x:c>
      <x:c r="AD21" s="16" t="str">
        <x:v>Paid Only 2.5K — Dawn Kagan-Fleming</x:v>
      </x:c>
      <x:c r="AE21" s="17" t="d">
        <x:v>2026-10-15T00:00:00.000Z</x:v>
      </x:c>
      <x:c r="AF21" s="16" t="str">
        <x:v>Previously read; date needs confirmation</x:v>
      </x:c>
      <x:c r="AG21" s="16" t="str">
        <x:v>Applied performance / simulation experience</x:v>
      </x:c>
      <x:c r="AH21" s="16" t="str">
        <x:v>Rate, year, deadline</x:v>
      </x:c>
    </x:row>
    <x:row r="22" ht="48" customHeight="1">
      <x:c r="A22" s="16" t="str">
        <x:v>NATURE-COLLAB</x:v>
      </x:c>
      <x:c r="B22" s="24" t="str">
        <x:v>Research needed</x:v>
      </x:c>
      <x:c r="C22" s="24" t="str">
        <x:v>Review fit</x:v>
      </x:c>
      <x:c r="D22" s="16" t="str">
        <x:v>DOP / camera / crew</x:v>
      </x:c>
      <x:c r="E22" s="16" t="str">
        <x:v>BC wildlife webseries</x:v>
      </x:c>
      <x:c r="F22" s="16" t="str">
        <x:v>Natural-history filmmaking collaborators</x:v>
      </x:c>
      <x:c r="G22" s="17"/>
      <x:c r="H22" s="18" t="str">
        <x:f>IF(G22="","",INT(G22)-INT(Overview!$B$4))</x:f>
      </x:c>
      <x:c r="I22" s="16" t="str">
        <x:f>IF(OR(B22="Passed",B22="Closed"),"No action",IF(OR(B22="Submitted",B22="Waitlisted",B22="Callback",B22="Booked"),IF(L22="","Track outcome",IF(L22&lt;=Overview!$B$4,"Follow up","Follow-up scheduled")),IF(G22="","Confirm deadline",IF(H22&lt;0,"Deadline passed",IF(H22=0,"Due today",IF(H22&lt;=3,"Due within 3 days","Open queue"))))))</x:f>
        <x:v>Confirm deadline</x:v>
      </x:c>
      <x:c r="J22" s="16" t="str">
        <x:v>Read full post and verify funded roles</x:v>
      </x:c>
      <x:c r="K22" s="25"/>
      <x:c r="L22" s="25"/>
      <x:c r="M22" s="24" t="str"/>
      <x:c r="N22" s="16" t="str">
        <x:v>Unknown</x:v>
      </x:c>
      <x:c r="O22" s="19"/>
      <x:c r="P22" s="16" t="str"/>
      <x:c r="Q22" s="16" t="str">
        <x:v>Greater Vancouver</x:v>
      </x:c>
      <x:c r="R22" s="17"/>
      <x:c r="S22" s="17"/>
      <x:c r="T22" s="16" t="str"/>
      <x:c r="U22" s="16" t="str">
        <x:f>IF(R22="","Dates unknown",IF(R22&gt;=Overview!$B$5,"After departure",IF(S22="","End unknown",IF(S22&gt;=Overview!$B$5,"Overlaps departure","Before departure"))))</x:f>
        <x:v>Dates unknown</x:v>
      </x:c>
      <x:c r="V22" s="16" t="str">
        <x:v>Not stated</x:v>
      </x:c>
      <x:c r="W22" s="16" t="str">
        <x:v>Not stated</x:v>
      </x:c>
      <x:c r="X22" s="16" t="str">
        <x:v>Not stated</x:v>
      </x:c>
      <x:c r="Y22" s="16" t="str"/>
      <x:c r="Z22" s="16" t="str">
        <x:v>Not stated</x:v>
      </x:c>
      <x:c r="AA22" s="16" t="str">
        <x:v>Not yet captured</x:v>
      </x:c>
      <x:c r="AB22" s="16" t="str"/>
      <x:c r="AC22" s="16" t="str">
        <x:v>https://www.facebook.com/groups/23366837344/</x:v>
      </x:c>
      <x:c r="AD22" s="16" t="str">
        <x:v>Vancouver Independent Film Crew — Siobhan Rebecca</x:v>
      </x:c>
      <x:c r="AE22" s="17" t="d">
        <x:v>2026-10-15T00:00:00.000Z</x:v>
      </x:c>
      <x:c r="AF22" s="16" t="str">
        <x:v>Preview only — research lead</x:v>
      </x:c>
      <x:c r="AG22" s="16" t="str">
        <x:v>Wildlife storytelling; funding not confirmed in preview</x:v>
      </x:c>
      <x:c r="AH22" s="16" t="str">
        <x:v>Funding, role, pay, dates, contact and submission materials</x:v>
      </x:c>
    </x:row>
    <x:row r="23" ht="48" customHeight="1">
      <x:c r="A23" s="16" t="str">
        <x:v>TV-MOVIE-LEAD</x:v>
      </x:c>
      <x:c r="B23" s="24" t="str">
        <x:v>Research needed</x:v>
      </x:c>
      <x:c r="C23" s="24" t="str">
        <x:v>Review fit</x:v>
      </x:c>
      <x:c r="D23" s="16" t="str">
        <x:v>Acting — film / TV</x:v>
      </x:c>
      <x:c r="E23" s="16" t="str">
        <x:v>Open TV movie casting</x:v>
      </x:c>
      <x:c r="F23" s="16" t="str">
        <x:v>Boy, 12–14 — lead</x:v>
      </x:c>
      <x:c r="G23" s="17"/>
      <x:c r="H23" s="18" t="str">
        <x:f>IF(G23="","",INT(G23)-INT(Overview!$B$4))</x:f>
      </x:c>
      <x:c r="I23" s="16" t="str">
        <x:f>IF(OR(B23="Passed",B23="Closed"),"No action",IF(OR(B23="Submitted",B23="Waitlisted",B23="Callback",B23="Booked"),IF(L23="","Track outcome",IF(L23&lt;=Overview!$B$4,"Follow up","Follow-up scheduled")),IF(G23="","Confirm deadline",IF(H23&lt;0,"Deadline passed",IF(H23=0,"Due today",IF(H23&lt;=3,"Due within 3 days","Open queue"))))))</x:f>
        <x:v>Confirm deadline</x:v>
      </x:c>
      <x:c r="J23" s="16" t="str">
        <x:v>Only if eligible: email name and recent photo</x:v>
      </x:c>
      <x:c r="K23" s="25"/>
      <x:c r="L23" s="25"/>
      <x:c r="M23" s="24" t="str"/>
      <x:c r="N23" s="16" t="str">
        <x:v>Unknown</x:v>
      </x:c>
      <x:c r="O23" s="19"/>
      <x:c r="P23" s="16" t="str"/>
      <x:c r="Q23" s="16" t="str">
        <x:v>Greater Vancouver</x:v>
      </x:c>
      <x:c r="R23" s="17" t="d">
        <x:v>2026-11-02T00:00:00.000Z</x:v>
      </x:c>
      <x:c r="S23" s="17" t="d">
        <x:v>2026-11-23T00:00:00.000Z</x:v>
      </x:c>
      <x:c r="T23" s="16" t="str"/>
      <x:c r="U23" s="16" t="str">
        <x:f>IF(R23="","Dates unknown",IF(R23&gt;=Overview!$B$5,"After departure",IF(S23="","End unknown",IF(S23&gt;=Overview!$B$5,"Overlaps departure","Before departure"))))</x:f>
        <x:v>Before departure</x:v>
      </x:c>
      <x:c r="V23" s="16" t="str">
        <x:v>Boy aged 12–14, fragile and small for his age; BC resident/taxpayer; fully available Nov 2–23</x:v>
      </x:c>
      <x:c r="W23" s="16" t="str">
        <x:v>UBCP</x:v>
      </x:c>
      <x:c r="X23" s="16" t="str">
        <x:v>Not stated</x:v>
      </x:c>
      <x:c r="Y23" s="16" t="str"/>
      <x:c r="Z23" s="16" t="str">
        <x:v>Name and recent photo</x:v>
      </x:c>
      <x:c r="AA23" s="16" t="str">
        <x:v>assistant@jackielindcasting.com</x:v>
      </x:c>
      <x:c r="AB23" s="16" t="str"/>
      <x:c r="AC23" s="16" t="str">
        <x:v>https://www.facebook.com/groups/283017421807719/</x:v>
      </x:c>
      <x:c r="AD23" s="16" t="str">
        <x:v>Actors in Vancouver — Tara Jayne Bell-Irving / Jackie Lind Casting</x:v>
      </x:c>
      <x:c r="AE23" s="17" t="d">
        <x:v>2026-10-15T00:00:00.000Z</x:v>
      </x:c>
      <x:c r="AF23" s="16" t="str">
        <x:v>Full casting text reviewed Oct 15</x:v>
      </x:c>
      <x:c r="AG23" s="16" t="str"/>
      <x:c r="AH23" s="16" t="str">
        <x:v>Pay, submission deadline, exact shoot location and direct post URL</x:v>
      </x:c>
    </x:row>
    <x:row r="24" ht="48" customHeight="1">
      <x:c r="A24" s="16" t="str">
        <x:v>YOURSTORY-HOST</x:v>
      </x:c>
      <x:c r="B24" s="24" t="str">
        <x:v>To do</x:v>
      </x:c>
      <x:c r="C24" s="24" t="str">
        <x:v>High</x:v>
      </x:c>
      <x:c r="D24" s="16" t="str">
        <x:v>Commercial / comedy</x:v>
      </x:c>
      <x:c r="E24" s="16" t="str">
        <x:v>Your Story training series</x:v>
      </x:c>
      <x:c r="F24" s="16" t="str">
        <x:v>Male talk-show co-host</x:v>
      </x:c>
      <x:c r="G24" s="17"/>
      <x:c r="H24" s="18" t="str">
        <x:f>IF(G24="","",INT(G24)-INT(Overview!$B$4))</x:f>
      </x:c>
      <x:c r="I24" s="16" t="str">
        <x:f>IF(OR(B24="Passed",B24="Closed"),"No action",IF(OR(B24="Submitted",B24="Waitlisted",B24="Callback",B24="Booked"),IF(L24="","Track outcome",IF(L24&lt;=Overview!$B$4,"Follow up","Follow-up scheduled")),IF(G24="","Confirm deadline",IF(H24&lt;0,"Deadline passed",IF(H24=0,"Due today",IF(H24&lt;=3,"Due within 3 days","Open queue"))))))</x:f>
        <x:v>Confirm deadline</x:v>
      </x:c>
      <x:c r="J24" s="16" t="str">
        <x:v>Email materials and requested role; confirm availability and usage terms</x:v>
      </x:c>
      <x:c r="K24" s="25"/>
      <x:c r="L24" s="25"/>
      <x:c r="M24" s="24" t="str"/>
      <x:c r="N24" s="16" t="str">
        <x:v>Paid</x:v>
      </x:c>
      <x:c r="O24" s="19" t="n">
        <x:v>500</x:v>
      </x:c>
      <x:c r="P24" s="16" t="str">
        <x:v>Per day; 1 shoot day; perpetual buyout</x:v>
      </x:c>
      <x:c r="Q24" s="16" t="str">
        <x:v>Metro Vancouver</x:v>
      </x:c>
      <x:c r="R24" s="17" t="d">
        <x:v>2026-11-09T00:00:00.000Z</x:v>
      </x:c>
      <x:c r="S24" s="17" t="d">
        <x:v>2026-11-10T00:00:00.000Z</x:v>
      </x:c>
      <x:c r="T24" s="16" t="str">
        <x:v>One day within Nov 9–10; confirm assigned day</x:v>
      </x:c>
      <x:c r="U24" s="16" t="str">
        <x:f>IF(R24="","Dates unknown",IF(R24&gt;=Overview!$B$5,"After departure",IF(S24="","End unknown",IF(S24&gt;=Overview!$B$5,"Overlaps departure","Before departure"))))</x:f>
        <x:v>Before departure</x:v>
      </x:c>
      <x:c r="V24" s="16" t="str">
        <x:v>Male; warm, sharp, natural chemistry with co-host</x:v>
      </x:c>
      <x:c r="W24" s="16" t="str">
        <x:v>Not stated</x:v>
      </x:c>
      <x:c r="X24" s="16" t="str">
        <x:v>Not stated</x:v>
      </x:c>
      <x:c r="Y24" s="16" t="str"/>
      <x:c r="Z24" s="16" t="str">
        <x:v>Headshot, short reel or self-tape, and role(s) requested</x:v>
      </x:c>
      <x:c r="AA24" s="16" t="str">
        <x:v>casting@your-story.agency</x:v>
      </x:c>
      <x:c r="AB24" s="16" t="str"/>
      <x:c r="AC24" s="16" t="str">
        <x:v>https://www.facebook.com/groups/283017421807719/</x:v>
      </x:c>
      <x:c r="AD24" s="16" t="str">
        <x:v>Actors in Vancouver — Colin Marshall / Your Story</x:v>
      </x:c>
      <x:c r="AE24" s="17" t="d">
        <x:v>2026-10-15T00:00:00.000Z</x:v>
      </x:c>
      <x:c r="AF24" s="16" t="str">
        <x:v>Full text reviewed</x:v>
      </x:c>
      <x:c r="AG24" s="16" t="str">
        <x:v>Premium training series on curved LED wall; buyout in perpetuity included in listed rate. Confirm usage/reel rights.</x:v>
      </x:c>
      <x:c r="AH24" s="16" t="str">
        <x:v>Submission deadline, currency, union status, call times and direct post URL</x:v>
      </x:c>
    </x:row>
    <x:row r="25" ht="48" customHeight="1">
      <x:c r="A25" s="16" t="str">
        <x:v>YOURSTORY-DEMO</x:v>
      </x:c>
      <x:c r="B25" s="24" t="str">
        <x:v>To do</x:v>
      </x:c>
      <x:c r="C25" s="24" t="str">
        <x:v>High</x:v>
      </x:c>
      <x:c r="D25" s="16" t="str">
        <x:v>Commercial / comedy</x:v>
      </x:c>
      <x:c r="E25" s="16" t="str">
        <x:v>Your Story training series</x:v>
      </x:c>
      <x:c r="F25" s="16" t="str">
        <x:v>Demo / roleplay talent</x:v>
      </x:c>
      <x:c r="G25" s="17"/>
      <x:c r="H25" s="18" t="str">
        <x:f>IF(G25="","",INT(G25)-INT(Overview!$B$4))</x:f>
      </x:c>
      <x:c r="I25" s="16" t="str">
        <x:f>IF(OR(B25="Passed",B25="Closed"),"No action",IF(OR(B25="Submitted",B25="Waitlisted",B25="Callback",B25="Booked"),IF(L25="","Track outcome",IF(L25&lt;=Overview!$B$4,"Follow up","Follow-up scheduled")),IF(G25="","Confirm deadline",IF(H25&lt;0,"Deadline passed",IF(H25=0,"Due today",IF(H25&lt;=3,"Due within 3 days","Open queue"))))))</x:f>
        <x:v>Confirm deadline</x:v>
      </x:c>
      <x:c r="J25" s="16" t="str">
        <x:v>Email materials and requested role; confirm availability and usage terms</x:v>
      </x:c>
      <x:c r="K25" s="25"/>
      <x:c r="L25" s="25"/>
      <x:c r="M25" s="24" t="str"/>
      <x:c r="N25" s="16" t="str">
        <x:v>Paid</x:v>
      </x:c>
      <x:c r="O25" s="19" t="n">
        <x:v>350</x:v>
      </x:c>
      <x:c r="P25" s="16" t="str">
        <x:v>Half-day; perpetual buyout</x:v>
      </x:c>
      <x:c r="Q25" s="16" t="str">
        <x:v>Metro Vancouver</x:v>
      </x:c>
      <x:c r="R25" s="17" t="d">
        <x:v>2026-11-09T00:00:00.000Z</x:v>
      </x:c>
      <x:c r="S25" s="17" t="d">
        <x:v>2026-11-10T00:00:00.000Z</x:v>
      </x:c>
      <x:c r="T25" s="16" t="str">
        <x:v>Half-day within Nov 9–10; confirm assigned date</x:v>
      </x:c>
      <x:c r="U25" s="16" t="str">
        <x:f>IF(R25="","Dates unknown",IF(R25&gt;=Overview!$B$5,"After departure",IF(S25="","End unknown",IF(S25&gt;=Overview!$B$5,"Overlaps departure","Before departure"))))</x:f>
        <x:v>Before departure</x:v>
      </x:c>
      <x:c r="V25" s="16" t="str">
        <x:v>Male and female; clear, grounded delivery; short demos and auction-floor roleplay</x:v>
      </x:c>
      <x:c r="W25" s="16" t="str">
        <x:v>Not stated</x:v>
      </x:c>
      <x:c r="X25" s="16" t="str">
        <x:v>Not stated</x:v>
      </x:c>
      <x:c r="Y25" s="16" t="str"/>
      <x:c r="Z25" s="16" t="str">
        <x:v>Headshot, short reel or self-tape, and role(s) requested</x:v>
      </x:c>
      <x:c r="AA25" s="16" t="str">
        <x:v>casting@your-story.agency</x:v>
      </x:c>
      <x:c r="AB25" s="16" t="str"/>
      <x:c r="AC25" s="16" t="str">
        <x:v>https://www.facebook.com/groups/283017421807719/</x:v>
      </x:c>
      <x:c r="AD25" s="16" t="str">
        <x:v>Actors in Vancouver — Colin Marshall / Your Story</x:v>
      </x:c>
      <x:c r="AE25" s="17" t="d">
        <x:v>2026-10-15T00:00:00.000Z</x:v>
      </x:c>
      <x:c r="AF25" s="16" t="str">
        <x:v>Full text reviewed</x:v>
      </x:c>
      <x:c r="AG25" s="16" t="str">
        <x:v>Premium training series on curved LED wall; buyout in perpetuity included in listed rate. Confirm usage/reel rights.</x:v>
      </x:c>
      <x:c r="AH25" s="16" t="str">
        <x:v>Submission deadline, currency, union status, call times and direct post URL</x:v>
      </x:c>
    </x:row>
    <x:row r="26" ht="48" customHeight="1">
      <x:c r="A26" s="16" t="str">
        <x:v>YOURSTORY-PRESENTER</x:v>
      </x:c>
      <x:c r="B26" s="24" t="str">
        <x:v>To do</x:v>
      </x:c>
      <x:c r="C26" s="24" t="str">
        <x:v>High</x:v>
      </x:c>
      <x:c r="D26" s="16" t="str">
        <x:v>Commercial / comedy</x:v>
      </x:c>
      <x:c r="E26" s="16" t="str">
        <x:v>Your Story training series</x:v>
      </x:c>
      <x:c r="F26" s="16" t="str">
        <x:v>Female lead presenter</x:v>
      </x:c>
      <x:c r="G26" s="17"/>
      <x:c r="H26" s="18" t="str">
        <x:f>IF(G26="","",INT(G26)-INT(Overview!$B$4))</x:f>
      </x:c>
      <x:c r="I26" s="16" t="str">
        <x:f>IF(OR(B26="Passed",B26="Closed"),"No action",IF(OR(B26="Submitted",B26="Waitlisted",B26="Callback",B26="Booked"),IF(L26="","Track outcome",IF(L26&lt;=Overview!$B$4,"Follow up","Follow-up scheduled")),IF(G26="","Confirm deadline",IF(H26&lt;0,"Deadline passed",IF(H26=0,"Due today",IF(H26&lt;=3,"Due within 3 days","Open queue"))))))</x:f>
        <x:v>Confirm deadline</x:v>
      </x:c>
      <x:c r="J26" s="16" t="str">
        <x:v>Email materials and requested role; confirm availability and usage terms</x:v>
      </x:c>
      <x:c r="K26" s="25"/>
      <x:c r="L26" s="25"/>
      <x:c r="M26" s="24" t="str"/>
      <x:c r="N26" s="16" t="str">
        <x:v>Paid</x:v>
      </x:c>
      <x:c r="O26" s="19" t="n">
        <x:v>700</x:v>
      </x:c>
      <x:c r="P26" s="16" t="str">
        <x:v>Per day; 2 full shoot days; perpetual buyout</x:v>
      </x:c>
      <x:c r="Q26" s="16" t="str">
        <x:v>Metro Vancouver</x:v>
      </x:c>
      <x:c r="R26" s="17" t="d">
        <x:v>2026-11-09T00:00:00.000Z</x:v>
      </x:c>
      <x:c r="S26" s="17" t="d">
        <x:v>2026-11-10T00:00:00.000Z</x:v>
      </x:c>
      <x:c r="T26" s="16" t="str">
        <x:v>Nov 9 and 10; two full days</x:v>
      </x:c>
      <x:c r="U26" s="16" t="str">
        <x:f>IF(R26="","Dates unknown",IF(R26&gt;=Overview!$B$5,"After departure",IF(S26="","End unknown",IF(S26&gt;=Overview!$B$5,"Overlaps departure","Before departure"))))</x:f>
        <x:v>Before departure</x:v>
      </x:c>
      <x:c r="V26" s="16" t="str">
        <x:v>Female early 30s; polished, confident, strong voice; teleprompter and straight-to-camera teaching</x:v>
      </x:c>
      <x:c r="W26" s="16" t="str">
        <x:v>Not stated</x:v>
      </x:c>
      <x:c r="X26" s="16" t="str">
        <x:v>Not stated</x:v>
      </x:c>
      <x:c r="Y26" s="16" t="str"/>
      <x:c r="Z26" s="16" t="str">
        <x:v>Headshot, short reel or self-tape, and role(s) requested</x:v>
      </x:c>
      <x:c r="AA26" s="16" t="str">
        <x:v>casting@your-story.agency</x:v>
      </x:c>
      <x:c r="AB26" s="16" t="str"/>
      <x:c r="AC26" s="16" t="str">
        <x:v>https://www.facebook.com/groups/283017421807719/</x:v>
      </x:c>
      <x:c r="AD26" s="16" t="str">
        <x:v>Actors in Vancouver — Colin Marshall / Your Story</x:v>
      </x:c>
      <x:c r="AE26" s="17" t="d">
        <x:v>2026-10-15T00:00:00.000Z</x:v>
      </x:c>
      <x:c r="AF26" s="16" t="str">
        <x:v>Full text reviewed</x:v>
      </x:c>
      <x:c r="AG26" s="16" t="str">
        <x:v>Premium training series on curved LED wall; buyout in perpetuity included in listed rate. Confirm usage/reel rights.</x:v>
      </x:c>
      <x:c r="AH26" s="16" t="str">
        <x:v>Submission deadline, currency, union status, call times and direct post URL</x:v>
      </x:c>
    </x:row>
  </x:sheetData>
  <x:conditionalFormatting sqref="I7:I26">
    <x:cfRule type="containsText" dxfId="0" priority="1" operator="containsText" text="Due"/>
  </x:conditionalFormatting>
  <x:conditionalFormatting sqref="B7:B26">
    <x:cfRule type="containsText" dxfId="1" priority="2" operator="containsText" text="Submitted"/>
  </x:conditionalFormatting>
  <x:conditionalFormatting sqref="U7:U26">
    <x:cfRule type="containsText" dxfId="2" priority="3" operator="containsText" text="After departure"/>
  </x:conditionalFormatting>
  <x:conditionalFormatting sqref="N7:N26">
    <x:cfRule type="containsText" dxfId="3" priority="4" operator="containsText" text="Paid"/>
  </x:conditionalFormatting>
  <x:dataValidations count="2">
    <x:dataValidation type="list" sqref="B7:B1006">
      <x:formula1>"To do,Research needed,Preparing,Submitted,Waitlisted,Callback,Booked,Passed,Closed"</x:formula1>
    </x:dataValidation>
    <x:dataValidation type="list" sqref="C7:C1006">
      <x:formula1>"Urgent,High,Review fit,Later / travel conflict"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002cbef3f443ed"/>
  </x:tableParts>
</x:worksheet>
</file>

<file path=xl/worksheets/sheet3.xml><?xml version="1.0" encoding="utf-8"?>
<x:worksheet xmlns:x="http://schemas.openxmlformats.org/spreadsheetml/2006/main">
  <x:sheetPr>
    <x:tabColor rgb="FF7E8B9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6" hidden="0" customWidth="1"/>
    <x:col min="2" max="2" width="65" hidden="0" customWidth="1"/>
    <x:col min="3" max="3" width="16" hidden="0" customWidth="1"/>
    <x:col min="4" max="4" width="72" hidden="0" customWidth="1"/>
    <x:col min="5" max="5" width="65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Source coverage and remaining review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4">
      <x:c r="A4" t="str">
        <x:v>Nine pages across eight group names. Two different Paid Only pages were supplied. All are accessible; history coverage is partial.</x:v>
      </x:c>
    </x:row>
    <x:row r="6" ht="30" customHeight="1">
      <x:c r="A6" s="21" t="str">
        <x:v>Source</x:v>
      </x:c>
      <x:c r="B6" s="21" t="str">
        <x:v>URL</x:v>
      </x:c>
      <x:c r="C6" s="21" t="str">
        <x:v>Checked</x:v>
      </x:c>
      <x:c r="D6" s="21" t="str">
        <x:v>Coverage / limitation</x:v>
      </x:c>
      <x:c r="E6" s="21" t="str">
        <x:v>Next step</x:v>
      </x:c>
    </x:row>
    <x:row r="7" ht="52" customHeight="1">
      <x:c r="A7" s="34" t="str">
        <x:v>HOLLYWOOD NORTH: Vancouver Film Industry</x:v>
      </x:c>
      <x:c r="B7" s="34" t="str">
        <x:v>https://www.facebook.com/groups/hollywoodnorthvancouverfilmindustry/</x:v>
      </x:c>
      <x:c r="C7" s="35" t="d">
        <x:v>2026-10-15T00:00:00.000Z</x:v>
      </x:c>
      <x:c r="D7" s="34" t="str">
        <x:v>Newest-feed sample through approximately Oct 12; A Mistake and SPK expanded. Older history remains.</x:v>
      </x:c>
      <x:c r="E7" s="34" t="str">
        <x:v>Review new posts and verify upcoming deadlines. Historical sweep discontinued by user.</x:v>
      </x:c>
    </x:row>
    <x:row r="8" ht="52" customHeight="1">
      <x:c r="A8" s="34" t="str">
        <x:v>BC Casting Call</x:v>
      </x:c>
      <x:c r="B8" s="34" t="str">
        <x:v>https://www.facebook.com/groups/233914560287649/</x:v>
      </x:c>
      <x:c r="C8" s="35" t="d">
        <x:v>2026-10-15T00:00:00.000Z</x:v>
      </x:c>
      <x:c r="D8" s="34" t="str">
        <x:v>Newest-feed sample into September; selected open calls expanded. Image-only details and older history remain.</x:v>
      </x:c>
      <x:c r="E8" s="34" t="str">
        <x:v>Review new posts and verify upcoming deadlines. Historical sweep discontinued by user.</x:v>
      </x:c>
    </x:row>
    <x:row r="9" ht="52" customHeight="1">
      <x:c r="A9" s="34" t="str">
        <x:v>Vancouver Background/Extras &amp; Stand-Ins Group</x:v>
      </x:c>
      <x:c r="B9" s="34" t="str">
        <x:v>https://www.facebook.com/groups/vancouverextras/</x:v>
      </x:c>
      <x:c r="C9" s="35" t="d">
        <x:v>2026-10-15T00:00:00.000Z</x:v>
      </x:c>
      <x:c r="D9" s="34" t="str">
        <x:v>Access verified; initial feed only. Historical audit remains.</x:v>
      </x:c>
      <x:c r="E9" s="34" t="str">
        <x:v>Review new posts and verify upcoming deadlines. Historical sweep discontinued by user.</x:v>
      </x:c>
    </x:row>
    <x:row r="10" ht="52" customHeight="1">
      <x:c r="A10" s="34" t="str">
        <x:v>Paid Only (2.5K members)</x:v>
      </x:c>
      <x:c r="B10" s="34" t="str">
        <x:v>https://www.facebook.com/groups/511691079724250/</x:v>
      </x:c>
      <x:c r="C10" s="35" t="d">
        <x:v>2026-10-15T00:00:00.000Z</x:v>
      </x:c>
      <x:c r="D10" s="34" t="str">
        <x:v>Access verified; standardized patient post read. Historical audit remains.</x:v>
      </x:c>
      <x:c r="E10" s="34" t="str">
        <x:v>Review new posts and verify upcoming deadlines. Historical sweep discontinued by user.</x:v>
      </x:c>
    </x:row>
    <x:row r="11" ht="52" customHeight="1">
      <x:c r="A11" s="34" t="str">
        <x:v>Paid Only (10K members)</x:v>
      </x:c>
      <x:c r="B11" s="34" t="str">
        <x:v>https://www.facebook.com/groups/272268773737408/</x:v>
      </x:c>
      <x:c r="C11" s="35" t="d">
        <x:v>2026-10-15T00:00:00.000Z</x:v>
      </x:c>
      <x:c r="D11" s="34" t="str">
        <x:v>Access verified; Spider-Man post read. Historical audit remains.</x:v>
      </x:c>
      <x:c r="E11" s="34" t="str">
        <x:v>Review new posts and verify upcoming deadlines. Historical sweep discontinued by user.</x:v>
      </x:c>
    </x:row>
    <x:row r="12" ht="52" customHeight="1">
      <x:c r="A12" s="34" t="str">
        <x:v>Vancouver Independent Film Crew</x:v>
      </x:c>
      <x:c r="B12" s="34" t="str">
        <x:v>https://www.facebook.com/groups/23366837344/</x:v>
      </x:c>
      <x:c r="C12" s="35" t="d">
        <x:v>2026-10-15T00:00:00.000Z</x:v>
      </x:c>
      <x:c r="D12" s="34" t="str">
        <x:v>Access verified; A Mistake DOP expanded. Historical audit remains.</x:v>
      </x:c>
      <x:c r="E12" s="34" t="str">
        <x:v>Review new posts and verify upcoming deadlines. Historical sweep discontinued by user.</x:v>
      </x:c>
    </x:row>
    <x:row r="13" ht="52" customHeight="1">
      <x:c r="A13" s="34" t="str">
        <x:v>Vancouver Island Casting Call</x:v>
      </x:c>
      <x:c r="B13" s="34" t="str">
        <x:v>https://www.facebook.com/groups/VIcasting/</x:v>
      </x:c>
      <x:c r="C13" s="35" t="d">
        <x:v>2026-10-15T00:00:00.000Z</x:v>
      </x:c>
      <x:c r="D13" s="34" t="str">
        <x:v>Access verified; initial feed only. Flag ferry/travel; historical audit remains.</x:v>
      </x:c>
      <x:c r="E13" s="34" t="str">
        <x:v>Review new posts and verify upcoming deadlines. Historical sweep discontinued by user.</x:v>
      </x:c>
    </x:row>
    <x:row r="14" ht="52" customHeight="1">
      <x:c r="A14" s="34" t="str">
        <x:v>Actors in Vancouver</x:v>
      </x:c>
      <x:c r="B14" s="34" t="str">
        <x:v>https://www.facebook.com/groups/283017421807719/</x:v>
      </x:c>
      <x:c r="C14" s="35" t="d">
        <x:v>2026-10-15T00:00:00.000Z</x:v>
      </x:c>
      <x:c r="D14" s="34" t="str">
        <x:v>Newest-feed sample through approximately Oct 11; Your Story and TV movie lead expanded, A Mistake/INTERSTICE crossposts deduplicated. Older history and image-only posts remain.</x:v>
      </x:c>
      <x:c r="E14" s="34" t="str">
        <x:v>Review new posts and verify upcoming deadlines. Historical sweep discontinued by user.</x:v>
      </x:c>
    </x:row>
    <x:row r="15" ht="52" customHeight="1">
      <x:c r="A15" s="34" t="str">
        <x:v>Vancouver Photographers and Models</x:v>
      </x:c>
      <x:c r="B15" s="34" t="str">
        <x:v>https://www.facebook.com/groups/vancouverphotographersandmodels/</x:v>
      </x:c>
      <x:c r="C15" s="35" t="d">
        <x:v>2026-10-15T00:00:00.000Z</x:v>
      </x:c>
      <x:c r="D15" s="34" t="str">
        <x:v>Access verified; Oct 15 initial newest post reviewed. Historical audit remains.</x:v>
      </x:c>
      <x:c r="E15" s="34" t="str">
        <x:v>Review new posts and verify upcoming deadlines. Historical sweep discontinued by user.</x:v>
      </x:c>
    </x:row>
    <x:row r="16" ht="52" customHeight="1">
      <x:c r="A16" s="34"/>
      <x:c r="B16" s="34"/>
      <x:c r="C16" s="35"/>
      <x:c r="D16" s="34"/>
      <x:c r="E16" s="34"/>
    </x:row>
    <x:row r="17" ht="52" customHeight="1">
      <x:c r="A17" s="34" t="str">
        <x:v>Online casting/jobs</x:v>
      </x:c>
      <x:c r="B17" s="34" t="str">
        <x:v>See source URLs in Opportunities</x:v>
      </x:c>
      <x:c r="C17" s="35" t="d">
        <x:v>2026-10-15T00:00:00.000Z</x:v>
      </x:c>
      <x:c r="D17" s="34" t="str">
        <x:v>Sales Team Six, hotel shoot and Aylex checked. Other sources not exhaustively reviewed.</x:v>
      </x:c>
      <x:c r="E17" s="34" t="str">
        <x:v>Check Backstage, Actors Access, Casting Networks, Casting Workbook and local employers.</x:v>
      </x:c>
    </x:row>
    <x:row r="18">
      <x:c r="A18" t="str">
        <x:v>Backstage</x:v>
      </x:c>
      <x:c r="B18" t="str">
        <x:v>https://www.backstage.com/casting/</x:v>
      </x:c>
      <x:c r="C18" t="d">
        <x:v>2026-10-16T00:00:00.000Z</x:v>
      </x:c>
      <x:c r="D18" t="str">
        <x:v>Public search checked; direct Vancouver page inaccessible. No fresh listing verified.</x:v>
      </x:c>
      <x:c r="E18" t="str">
        <x:v>Check public listings next run; match profile once provided.</x:v>
      </x:c>
    </x:row>
    <x:row r="19">
      <x:c r="A19" t="str">
        <x:v>Still-open status must be rechecked before applying. Research-needed rows are leads, not verified available bookings.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</x:cols>
  <x:sheetData>
    <x:row r="1" ht="8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</x:row>
    <x:row r="2" ht="32" customHeight="1">
      <x:c r="A2" s="40" t="str">
        <x:v>Past deadlines — retained for your records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6" ht="40" customHeight="1">
      <x:c r="A6" s="3" t="str">
        <x:v>ID</x:v>
      </x:c>
      <x:c r="B6" s="3" t="str">
        <x:v>Application status</x:v>
      </x:c>
      <x:c r="C6" s="3" t="str">
        <x:v>Your priority</x:v>
      </x:c>
      <x:c r="D6" s="3" t="str">
        <x:v>Category</x:v>
      </x:c>
      <x:c r="E6" s="3" t="str">
        <x:v>Project</x:v>
      </x:c>
      <x:c r="F6" s="3" t="str">
        <x:v>Role</x:v>
      </x:c>
      <x:c r="G6" s="3" t="str">
        <x:v>Deadline</x:v>
      </x:c>
      <x:c r="H6" s="3" t="str">
        <x:v>Days left</x:v>
      </x:c>
      <x:c r="I6" s="3" t="str">
        <x:v>Reminder</x:v>
      </x:c>
      <x:c r="J6" s="3" t="str">
        <x:v>Next action</x:v>
      </x:c>
      <x:c r="K6" s="3" t="str">
        <x:v>Submitted on</x:v>
      </x:c>
      <x:c r="L6" s="3" t="str">
        <x:v>Follow-up on</x:v>
      </x:c>
      <x:c r="M6" s="3" t="str">
        <x:v>Your notes</x:v>
      </x:c>
      <x:c r="N6" s="3" t="str">
        <x:v>Pay type</x:v>
      </x:c>
      <x:c r="O6" s="3" t="str">
        <x:v>Rate</x:v>
      </x:c>
      <x:c r="P6" s="3" t="str">
        <x:v>Pay basis</x:v>
      </x:c>
      <x:c r="Q6" s="3" t="str">
        <x:v>Location</x:v>
      </x:c>
      <x:c r="R6" s="3" t="str">
        <x:v>Shoot start</x:v>
      </x:c>
      <x:c r="S6" s="3" t="str">
        <x:v>Shoot end</x:v>
      </x:c>
      <x:c r="T6" s="3" t="str">
        <x:v>Schedule / hours</x:v>
      </x:c>
      <x:c r="U6" s="3" t="str">
        <x:v>Before Dec 1?</x:v>
      </x:c>
      <x:c r="V6" s="3" t="str">
        <x:v>Eligibility / fit</x:v>
      </x:c>
      <x:c r="W6" s="3" t="str">
        <x:v>Union</x:v>
      </x:c>
      <x:c r="X6" s="3" t="str">
        <x:v>Audition format</x:v>
      </x:c>
      <x:c r="Y6" s="3" t="str">
        <x:v>Audition / callback dates</x:v>
      </x:c>
      <x:c r="Z6" s="3" t="str">
        <x:v>Submission materials</x:v>
      </x:c>
      <x:c r="AA6" s="3" t="str">
        <x:v>Contact / recipient</x:v>
      </x:c>
      <x:c r="AB6" s="3" t="str">
        <x:v>Email subject</x:v>
      </x:c>
      <x:c r="AC6" s="3" t="str">
        <x:v>Application / source URL</x:v>
      </x:c>
      <x:c r="AD6" s="3" t="str">
        <x:v>Group / source</x:v>
      </x:c>
      <x:c r="AE6" s="3" t="str">
        <x:v>Checked on</x:v>
      </x:c>
      <x:c r="AF6" s="3" t="str">
        <x:v>Verification</x:v>
      </x:c>
      <x:c r="AG6" s="3" t="str">
        <x:v>Portfolio / equipment</x:v>
      </x:c>
      <x:c r="AH6" s="3" t="str">
        <x:v>Missing / confirm</x:v>
      </x:c>
    </x:row>
    <x:row r="7" ht="40" customHeight="1">
      <x:c r="A7" s="2" t="str">
        <x:v>ST6-STU</x:v>
      </x:c>
      <x:c r="B7" s="2" t="str">
        <x:v>To do</x:v>
      </x:c>
      <x:c r="C7" s="2" t="str">
        <x:v>Urgent</x:v>
      </x:c>
      <x:c r="D7" s="2" t="str">
        <x:v>Acting — film / TV</x:v>
      </x:c>
      <x:c r="E7" s="2" t="str">
        <x:v>Sales Team Six</x:v>
      </x:c>
      <x:c r="F7" s="2" t="str">
        <x:v>Stu</x:v>
      </x:c>
      <x:c r="G7" s="4" t="d">
        <x:v>2026-10-15T00:00:00.000Z</x:v>
      </x:c>
      <x:c r="H7" s="2"/>
      <x:c r="I7" s="2" t="str">
        <x:v>Deadline passed</x:v>
      </x:c>
      <x:c r="J7" s="2" t="str">
        <x:v>Obtain sides and submit self-tape before deadline</x:v>
      </x:c>
      <x:c r="K7" s="4"/>
      <x:c r="L7" s="4"/>
      <x:c r="M7" s="2" t="str"/>
      <x:c r="N7" s="2" t="str">
        <x:v>Unknown</x:v>
      </x:c>
      <x:c r="O7" s="2"/>
      <x:c r="P7" s="2" t="str"/>
      <x:c r="Q7" s="2" t="str">
        <x:v>Greater Vancouver</x:v>
      </x:c>
      <x:c r="R7" s="4" t="d">
        <x:v>2026-11-13T00:00:00.000Z</x:v>
      </x:c>
      <x:c r="S7" s="4" t="d">
        <x:v>2026-11-15T00:00:00.000Z</x:v>
      </x:c>
      <x:c r="T7" s="2" t="str"/>
      <x:c r="U7" s="2"/>
      <x:c r="V7" s="2" t="str">
        <x:v>Male 20–30, all ethnicities</x:v>
      </x:c>
      <x:c r="W7" s="2" t="str">
        <x:v>Union and non-union</x:v>
      </x:c>
      <x:c r="X7" s="2" t="str">
        <x:v>Self-tape; callbacks</x:v>
      </x:c>
      <x:c r="Y7" s="2" t="str">
        <x:v>Self-tape Oct 15; callbacks Oct 17; cutoff time not stated</x:v>
      </x:c>
      <x:c r="Z7" s="2" t="str">
        <x:v>Headshot, résumé, optional reel; indicate role; self-tape instructions via listing</x:v>
      </x:c>
      <x:c r="AA7" s="2" t="str">
        <x:v>Apply through listing; direct recipient not public</x:v>
      </x:c>
      <x:c r="AB7" s="2" t="str"/>
      <x:c r="AC7" s="2" t="str">
        <x:v>https://allcasting.com/castingcall/321852</x:v>
      </x:c>
      <x:c r="AD7" s="2" t="str">
        <x:v>AllCasting</x:v>
      </x:c>
      <x:c r="AE7" s="4" t="d">
        <x:v>2026-10-15T00:00:00.000Z</x:v>
      </x:c>
      <x:c r="AF7" s="2" t="str">
        <x:v>Full text reviewed</x:v>
      </x:c>
      <x:c r="AG7" s="2" t="str">
        <x:v>Student short; acting experience. Reel/credit not promised in listing.</x:v>
      </x:c>
      <x:c r="AH7" s="2" t="str">
        <x:v>Pay, exact cutoff, sides and direct recipient</x:v>
      </x:c>
    </x:row>
    <x:row r="8" ht="40" customHeight="1">
      <x:c r="A8" s="2" t="str">
        <x:v>ST6-MACK</x:v>
      </x:c>
      <x:c r="B8" s="2" t="str">
        <x:v>To do</x:v>
      </x:c>
      <x:c r="C8" s="2" t="str">
        <x:v>Urgent</x:v>
      </x:c>
      <x:c r="D8" s="2" t="str">
        <x:v>Acting — film / TV</x:v>
      </x:c>
      <x:c r="E8" s="2" t="str">
        <x:v>Sales Team Six</x:v>
      </x:c>
      <x:c r="F8" s="2" t="str">
        <x:v>Mack</x:v>
      </x:c>
      <x:c r="G8" s="4" t="d">
        <x:v>2026-10-15T00:00:00.000Z</x:v>
      </x:c>
      <x:c r="H8" s="2"/>
      <x:c r="I8" s="2" t="str">
        <x:v>Deadline passed</x:v>
      </x:c>
      <x:c r="J8" s="2" t="str">
        <x:v>Obtain sides and submit self-tape before deadline</x:v>
      </x:c>
      <x:c r="K8" s="4"/>
      <x:c r="L8" s="4"/>
      <x:c r="M8" s="2" t="str"/>
      <x:c r="N8" s="2" t="str">
        <x:v>Unknown</x:v>
      </x:c>
      <x:c r="O8" s="2"/>
      <x:c r="P8" s="2" t="str"/>
      <x:c r="Q8" s="2" t="str">
        <x:v>Greater Vancouver</x:v>
      </x:c>
      <x:c r="R8" s="4" t="d">
        <x:v>2026-11-13T00:00:00.000Z</x:v>
      </x:c>
      <x:c r="S8" s="4" t="d">
        <x:v>2026-11-15T00:00:00.000Z</x:v>
      </x:c>
      <x:c r="T8" s="2" t="str"/>
      <x:c r="U8" s="2"/>
      <x:c r="V8" s="2" t="str">
        <x:v>Male 18–25, all ethnicities</x:v>
      </x:c>
      <x:c r="W8" s="2" t="str">
        <x:v>Union and non-union</x:v>
      </x:c>
      <x:c r="X8" s="2" t="str">
        <x:v>Self-tape; callbacks</x:v>
      </x:c>
      <x:c r="Y8" s="2" t="str">
        <x:v>Self-tape Oct 15; callbacks Oct 17; cutoff time not stated</x:v>
      </x:c>
      <x:c r="Z8" s="2" t="str">
        <x:v>Headshot, résumé, optional reel; indicate role; self-tape instructions via listing</x:v>
      </x:c>
      <x:c r="AA8" s="2" t="str">
        <x:v>Apply through listing; direct recipient not public</x:v>
      </x:c>
      <x:c r="AB8" s="2" t="str"/>
      <x:c r="AC8" s="2" t="str">
        <x:v>https://allcasting.com/castingcall/321852</x:v>
      </x:c>
      <x:c r="AD8" s="2" t="str">
        <x:v>AllCasting</x:v>
      </x:c>
      <x:c r="AE8" s="4" t="d">
        <x:v>2026-10-15T00:00:00.000Z</x:v>
      </x:c>
      <x:c r="AF8" s="2" t="str">
        <x:v>Full text reviewed</x:v>
      </x:c>
      <x:c r="AG8" s="2" t="str">
        <x:v>Student short; acting experience. Reel/credit not promised in listing.</x:v>
      </x:c>
      <x:c r="AH8" s="2" t="str">
        <x:v>Pay, exact cutoff, sides and direct recipient</x:v>
      </x:c>
    </x:row>
    <x:row r="9" ht="40" customHeight="1">
      <x:c r="A9" s="2" t="str">
        <x:v>ST6-HAROLD</x:v>
      </x:c>
      <x:c r="B9" s="2" t="str">
        <x:v>To do</x:v>
      </x:c>
      <x:c r="C9" s="2" t="str">
        <x:v>Urgent</x:v>
      </x:c>
      <x:c r="D9" s="2" t="str">
        <x:v>Acting — film / TV</x:v>
      </x:c>
      <x:c r="E9" s="2" t="str">
        <x:v>Sales Team Six</x:v>
      </x:c>
      <x:c r="F9" s="2" t="str">
        <x:v>Harold</x:v>
      </x:c>
      <x:c r="G9" s="4" t="d">
        <x:v>2026-10-15T00:00:00.000Z</x:v>
      </x:c>
      <x:c r="H9" s="2"/>
      <x:c r="I9" s="2" t="str">
        <x:v>Deadline passed</x:v>
      </x:c>
      <x:c r="J9" s="2" t="str">
        <x:v>Obtain sides and submit self-tape before deadline</x:v>
      </x:c>
      <x:c r="K9" s="4"/>
      <x:c r="L9" s="4"/>
      <x:c r="M9" s="2" t="str"/>
      <x:c r="N9" s="2" t="str">
        <x:v>Unknown</x:v>
      </x:c>
      <x:c r="O9" s="2"/>
      <x:c r="P9" s="2" t="str"/>
      <x:c r="Q9" s="2" t="str">
        <x:v>Greater Vancouver</x:v>
      </x:c>
      <x:c r="R9" s="4" t="d">
        <x:v>2026-11-13T00:00:00.000Z</x:v>
      </x:c>
      <x:c r="S9" s="4" t="d">
        <x:v>2026-11-15T00:00:00.000Z</x:v>
      </x:c>
      <x:c r="T9" s="2" t="str"/>
      <x:c r="U9" s="2"/>
      <x:c r="V9" s="2" t="str">
        <x:v>Male 30–45, all ethnicities</x:v>
      </x:c>
      <x:c r="W9" s="2" t="str">
        <x:v>Union and non-union</x:v>
      </x:c>
      <x:c r="X9" s="2" t="str">
        <x:v>Self-tape; callbacks</x:v>
      </x:c>
      <x:c r="Y9" s="2" t="str">
        <x:v>Self-tape Oct 15; callbacks Oct 17; cutoff time not stated</x:v>
      </x:c>
      <x:c r="Z9" s="2" t="str">
        <x:v>Headshot, résumé, optional reel; indicate role; self-tape instructions via listing</x:v>
      </x:c>
      <x:c r="AA9" s="2" t="str">
        <x:v>Apply through listing; direct recipient not public</x:v>
      </x:c>
      <x:c r="AB9" s="2" t="str"/>
      <x:c r="AC9" s="2" t="str">
        <x:v>https://allcasting.com/castingcall/321852</x:v>
      </x:c>
      <x:c r="AD9" s="2" t="str">
        <x:v>AllCasting</x:v>
      </x:c>
      <x:c r="AE9" s="4" t="d">
        <x:v>2026-10-15T00:00:00.000Z</x:v>
      </x:c>
      <x:c r="AF9" s="2" t="str">
        <x:v>Full text reviewed</x:v>
      </x:c>
      <x:c r="AG9" s="2" t="str">
        <x:v>Student short; acting experience. Reel/credit not promised in listing.</x:v>
      </x:c>
      <x:c r="AH9" s="2" t="str">
        <x:v>Pay, exact cutoff, sides and direct recipient</x:v>
      </x:c>
    </x:row>
    <x:row r="10" ht="40" customHeight="1">
      <x:c r="A10" s="2" t="str">
        <x:v>ST6-WILLIAM</x:v>
      </x:c>
      <x:c r="B10" s="2" t="str">
        <x:v>To do</x:v>
      </x:c>
      <x:c r="C10" s="2" t="str">
        <x:v>Urgent</x:v>
      </x:c>
      <x:c r="D10" s="2" t="str">
        <x:v>Acting — film / TV</x:v>
      </x:c>
      <x:c r="E10" s="2" t="str">
        <x:v>Sales Team Six</x:v>
      </x:c>
      <x:c r="F10" s="2" t="str">
        <x:v>William</x:v>
      </x:c>
      <x:c r="G10" s="4" t="d">
        <x:v>2026-10-15T00:00:00.000Z</x:v>
      </x:c>
      <x:c r="H10" s="2"/>
      <x:c r="I10" s="2" t="str">
        <x:v>Deadline passed</x:v>
      </x:c>
      <x:c r="J10" s="2" t="str">
        <x:v>Obtain sides and submit self-tape before deadline</x:v>
      </x:c>
      <x:c r="K10" s="4"/>
      <x:c r="L10" s="4"/>
      <x:c r="M10" s="2" t="str"/>
      <x:c r="N10" s="2" t="str">
        <x:v>Unknown</x:v>
      </x:c>
      <x:c r="O10" s="2"/>
      <x:c r="P10" s="2" t="str"/>
      <x:c r="Q10" s="2" t="str">
        <x:v>Greater Vancouver</x:v>
      </x:c>
      <x:c r="R10" s="4" t="d">
        <x:v>2026-11-13T00:00:00.000Z</x:v>
      </x:c>
      <x:c r="S10" s="4" t="d">
        <x:v>2026-11-15T00:00:00.000Z</x:v>
      </x:c>
      <x:c r="T10" s="2" t="str"/>
      <x:c r="U10" s="2"/>
      <x:c r="V10" s="2" t="str">
        <x:v>Male 60–70, all ethnicities</x:v>
      </x:c>
      <x:c r="W10" s="2" t="str">
        <x:v>Union and non-union</x:v>
      </x:c>
      <x:c r="X10" s="2" t="str">
        <x:v>Self-tape; callbacks</x:v>
      </x:c>
      <x:c r="Y10" s="2" t="str">
        <x:v>Self-tape Oct 15; callbacks Oct 17; cutoff time not stated</x:v>
      </x:c>
      <x:c r="Z10" s="2" t="str">
        <x:v>Headshot, résumé, optional reel; indicate role; self-tape instructions via listing</x:v>
      </x:c>
      <x:c r="AA10" s="2" t="str">
        <x:v>Apply through listing; direct recipient not public</x:v>
      </x:c>
      <x:c r="AB10" s="2" t="str"/>
      <x:c r="AC10" s="2" t="str">
        <x:v>https://allcasting.com/castingcall/321852</x:v>
      </x:c>
      <x:c r="AD10" s="2" t="str">
        <x:v>AllCasting</x:v>
      </x:c>
      <x:c r="AE10" s="4" t="d">
        <x:v>2026-10-15T00:00:00.000Z</x:v>
      </x:c>
      <x:c r="AF10" s="2" t="str">
        <x:v>Full text reviewed</x:v>
      </x:c>
      <x:c r="AG10" s="2" t="str">
        <x:v>Student short; acting experience. Reel/credit not promised in listing.</x:v>
      </x:c>
      <x:c r="AH10" s="2" t="str">
        <x:v>Pay, exact cutoff, sides and direct recipient</x:v>
      </x:c>
    </x:row>
    <x:row r="11" ht="40" customHeight="1">
      <x:c r="A11" s="2" t="str">
        <x:v>ST6-ALAN</x:v>
      </x:c>
      <x:c r="B11" s="2" t="str">
        <x:v>To do</x:v>
      </x:c>
      <x:c r="C11" s="2" t="str">
        <x:v>Urgent</x:v>
      </x:c>
      <x:c r="D11" s="2" t="str">
        <x:v>Acting — film / TV</x:v>
      </x:c>
      <x:c r="E11" s="2" t="str">
        <x:v>Sales Team Six</x:v>
      </x:c>
      <x:c r="F11" s="2" t="str">
        <x:v>Alan</x:v>
      </x:c>
      <x:c r="G11" s="4" t="d">
        <x:v>2026-10-15T00:00:00.000Z</x:v>
      </x:c>
      <x:c r="H11" s="2"/>
      <x:c r="I11" s="2" t="str">
        <x:v>Deadline passed</x:v>
      </x:c>
      <x:c r="J11" s="2" t="str">
        <x:v>Obtain sides and submit self-tape before deadline</x:v>
      </x:c>
      <x:c r="K11" s="4"/>
      <x:c r="L11" s="4"/>
      <x:c r="M11" s="2" t="str"/>
      <x:c r="N11" s="2" t="str">
        <x:v>Unknown</x:v>
      </x:c>
      <x:c r="O11" s="2"/>
      <x:c r="P11" s="2" t="str"/>
      <x:c r="Q11" s="2" t="str">
        <x:v>Greater Vancouver</x:v>
      </x:c>
      <x:c r="R11" s="4" t="d">
        <x:v>2026-11-13T00:00:00.000Z</x:v>
      </x:c>
      <x:c r="S11" s="4" t="d">
        <x:v>2026-11-15T00:00:00.000Z</x:v>
      </x:c>
      <x:c r="T11" s="2" t="str"/>
      <x:c r="U11" s="2"/>
      <x:c r="V11" s="2" t="str">
        <x:v>Male 45–64, all ethnicities</x:v>
      </x:c>
      <x:c r="W11" s="2" t="str">
        <x:v>Union and non-union</x:v>
      </x:c>
      <x:c r="X11" s="2" t="str">
        <x:v>Self-tape; callbacks</x:v>
      </x:c>
      <x:c r="Y11" s="2" t="str">
        <x:v>Self-tape Oct 15; callbacks Oct 17; cutoff time not stated</x:v>
      </x:c>
      <x:c r="Z11" s="2" t="str">
        <x:v>Headshot, résumé, optional reel; indicate role; self-tape instructions via listing</x:v>
      </x:c>
      <x:c r="AA11" s="2" t="str">
        <x:v>Apply through listing; direct recipient not public</x:v>
      </x:c>
      <x:c r="AB11" s="2" t="str"/>
      <x:c r="AC11" s="2" t="str">
        <x:v>https://allcasting.com/castingcall/321852</x:v>
      </x:c>
      <x:c r="AD11" s="2" t="str">
        <x:v>AllCasting</x:v>
      </x:c>
      <x:c r="AE11" s="4" t="d">
        <x:v>2026-10-15T00:00:00.000Z</x:v>
      </x:c>
      <x:c r="AF11" s="2" t="str">
        <x:v>Full text reviewed</x:v>
      </x:c>
      <x:c r="AG11" s="2" t="str">
        <x:v>Student short; acting experience. Reel/credit not promised in listing.</x:v>
      </x:c>
      <x:c r="AH11" s="2" t="str">
        <x:v>Pay, exact cutoff, sides and direct recipient</x:v>
      </x:c>
    </x:row>
    <x:row r="12" ht="40" customHeight="1">
      <x:c r="A12" s="2" t="str">
        <x:v>ST6-ALEX</x:v>
      </x:c>
      <x:c r="B12" s="2" t="str">
        <x:v>To do</x:v>
      </x:c>
      <x:c r="C12" s="2" t="str">
        <x:v>Urgent</x:v>
      </x:c>
      <x:c r="D12" s="2" t="str">
        <x:v>Acting — film / TV</x:v>
      </x:c>
      <x:c r="E12" s="2" t="str">
        <x:v>Sales Team Six</x:v>
      </x:c>
      <x:c r="F12" s="2" t="str">
        <x:v>Alex</x:v>
      </x:c>
      <x:c r="G12" s="4" t="d">
        <x:v>2026-10-15T00:00:00.000Z</x:v>
      </x:c>
      <x:c r="H12" s="2"/>
      <x:c r="I12" s="2" t="str">
        <x:v>Deadline passed</x:v>
      </x:c>
      <x:c r="J12" s="2" t="str">
        <x:v>Obtain sides and submit self-tape before deadline</x:v>
      </x:c>
      <x:c r="K12" s="4"/>
      <x:c r="L12" s="4"/>
      <x:c r="M12" s="2" t="str"/>
      <x:c r="N12" s="2" t="str">
        <x:v>Unknown</x:v>
      </x:c>
      <x:c r="O12" s="2"/>
      <x:c r="P12" s="2" t="str"/>
      <x:c r="Q12" s="2" t="str">
        <x:v>Greater Vancouver</x:v>
      </x:c>
      <x:c r="R12" s="4" t="d">
        <x:v>2026-11-13T00:00:00.000Z</x:v>
      </x:c>
      <x:c r="S12" s="4" t="d">
        <x:v>2026-11-15T00:00:00.000Z</x:v>
      </x:c>
      <x:c r="T12" s="2" t="str"/>
      <x:c r="U12" s="2"/>
      <x:c r="V12" s="2" t="str">
        <x:v>Female 35–55, all ethnicities</x:v>
      </x:c>
      <x:c r="W12" s="2" t="str">
        <x:v>Union and non-union</x:v>
      </x:c>
      <x:c r="X12" s="2" t="str">
        <x:v>Self-tape; callbacks</x:v>
      </x:c>
      <x:c r="Y12" s="2" t="str">
        <x:v>Self-tape Oct 15; callbacks Oct 17; cutoff time not stated</x:v>
      </x:c>
      <x:c r="Z12" s="2" t="str">
        <x:v>Headshot, résumé, optional reel; indicate role; self-tape instructions via listing</x:v>
      </x:c>
      <x:c r="AA12" s="2" t="str">
        <x:v>Apply through listing; direct recipient not public</x:v>
      </x:c>
      <x:c r="AB12" s="2" t="str"/>
      <x:c r="AC12" s="2" t="str">
        <x:v>https://allcasting.com/castingcall/321852</x:v>
      </x:c>
      <x:c r="AD12" s="2" t="str">
        <x:v>AllCasting</x:v>
      </x:c>
      <x:c r="AE12" s="4" t="d">
        <x:v>2026-10-15T00:00:00.000Z</x:v>
      </x:c>
      <x:c r="AF12" s="2" t="str">
        <x:v>Full text reviewed</x:v>
      </x:c>
      <x:c r="AG12" s="2" t="str">
        <x:v>Student short; acting experience. Reel/credit not promised in listing.</x:v>
      </x:c>
      <x:c r="AH12" s="2" t="str">
        <x:v>Pay, exact cutoff, sides and direct recipient</x:v>
      </x:c>
    </x:row>
    <x:row r="13" ht="40" customHeight="1">
      <x:c r="A13" s="2" t="str">
        <x:v>ST6-FRASER</x:v>
      </x:c>
      <x:c r="B13" s="2" t="str">
        <x:v>To do</x:v>
      </x:c>
      <x:c r="C13" s="2" t="str">
        <x:v>Urgent</x:v>
      </x:c>
      <x:c r="D13" s="2" t="str">
        <x:v>Acting — film / TV</x:v>
      </x:c>
      <x:c r="E13" s="2" t="str">
        <x:v>Sales Team Six</x:v>
      </x:c>
      <x:c r="F13" s="2" t="str">
        <x:v>Fraser</x:v>
      </x:c>
      <x:c r="G13" s="4" t="d">
        <x:v>2026-10-15T00:00:00.000Z</x:v>
      </x:c>
      <x:c r="H13" s="2"/>
      <x:c r="I13" s="2" t="str">
        <x:v>Deadline passed</x:v>
      </x:c>
      <x:c r="J13" s="2" t="str">
        <x:v>Obtain sides and submit self-tape before deadline</x:v>
      </x:c>
      <x:c r="K13" s="4"/>
      <x:c r="L13" s="4"/>
      <x:c r="M13" s="2" t="str"/>
      <x:c r="N13" s="2" t="str">
        <x:v>Unknown</x:v>
      </x:c>
      <x:c r="O13" s="2"/>
      <x:c r="P13" s="2" t="str"/>
      <x:c r="Q13" s="2" t="str">
        <x:v>Greater Vancouver</x:v>
      </x:c>
      <x:c r="R13" s="4" t="d">
        <x:v>2026-11-13T00:00:00.000Z</x:v>
      </x:c>
      <x:c r="S13" s="4" t="d">
        <x:v>2026-11-15T00:00:00.000Z</x:v>
      </x:c>
      <x:c r="T13" s="2" t="str"/>
      <x:c r="U13" s="2"/>
      <x:c r="V13" s="2" t="str">
        <x:v>Male 40–55, all ethnicities</x:v>
      </x:c>
      <x:c r="W13" s="2" t="str">
        <x:v>Union and non-union</x:v>
      </x:c>
      <x:c r="X13" s="2" t="str">
        <x:v>Self-tape; callbacks</x:v>
      </x:c>
      <x:c r="Y13" s="2" t="str">
        <x:v>Self-tape Oct 15; callbacks Oct 17; cutoff time not stated</x:v>
      </x:c>
      <x:c r="Z13" s="2" t="str">
        <x:v>Headshot, résumé, optional reel; indicate role; self-tape instructions via listing</x:v>
      </x:c>
      <x:c r="AA13" s="2" t="str">
        <x:v>Apply through listing; direct recipient not public</x:v>
      </x:c>
      <x:c r="AB13" s="2" t="str"/>
      <x:c r="AC13" s="2" t="str">
        <x:v>https://allcasting.com/castingcall/321852</x:v>
      </x:c>
      <x:c r="AD13" s="2" t="str">
        <x:v>AllCasting</x:v>
      </x:c>
      <x:c r="AE13" s="4" t="d">
        <x:v>2026-10-15T00:00:00.000Z</x:v>
      </x:c>
      <x:c r="AF13" s="2" t="str">
        <x:v>Full text reviewed</x:v>
      </x:c>
      <x:c r="AG13" s="2" t="str">
        <x:v>Student short; acting experience. Reel/credit not promised in listing.</x:v>
      </x:c>
      <x:c r="AH13" s="2" t="str">
        <x:v>Pay, exact cutoff, sides and direct recipient</x:v>
      </x:c>
    </x:row>
    <x:row r="14" ht="40" customHeight="1">
      <x:c r="A14" s="2" t="str">
        <x:v>ST6-JERICO</x:v>
      </x:c>
      <x:c r="B14" s="2" t="str">
        <x:v>To do</x:v>
      </x:c>
      <x:c r="C14" s="2" t="str">
        <x:v>Urgent</x:v>
      </x:c>
      <x:c r="D14" s="2" t="str">
        <x:v>Acting — film / TV</x:v>
      </x:c>
      <x:c r="E14" s="2" t="str">
        <x:v>Sales Team Six</x:v>
      </x:c>
      <x:c r="F14" s="2" t="str">
        <x:v>Jerico</x:v>
      </x:c>
      <x:c r="G14" s="4" t="d">
        <x:v>2026-10-15T00:00:00.000Z</x:v>
      </x:c>
      <x:c r="H14" s="2"/>
      <x:c r="I14" s="2" t="str">
        <x:v>Deadline passed</x:v>
      </x:c>
      <x:c r="J14" s="2" t="str">
        <x:v>Obtain sides and submit self-tape before deadline</x:v>
      </x:c>
      <x:c r="K14" s="4"/>
      <x:c r="L14" s="4"/>
      <x:c r="M14" s="2" t="str"/>
      <x:c r="N14" s="2" t="str">
        <x:v>Unknown</x:v>
      </x:c>
      <x:c r="O14" s="2"/>
      <x:c r="P14" s="2" t="str"/>
      <x:c r="Q14" s="2" t="str">
        <x:v>Greater Vancouver</x:v>
      </x:c>
      <x:c r="R14" s="4" t="d">
        <x:v>2026-11-13T00:00:00.000Z</x:v>
      </x:c>
      <x:c r="S14" s="4" t="d">
        <x:v>2026-11-15T00:00:00.000Z</x:v>
      </x:c>
      <x:c r="T14" s="2" t="str"/>
      <x:c r="U14" s="2"/>
      <x:c r="V14" s="2" t="str">
        <x:v>Male 40–56, all ethnicities</x:v>
      </x:c>
      <x:c r="W14" s="2" t="str">
        <x:v>Union and non-union</x:v>
      </x:c>
      <x:c r="X14" s="2" t="str">
        <x:v>Self-tape; callbacks</x:v>
      </x:c>
      <x:c r="Y14" s="2" t="str">
        <x:v>Self-tape Oct 15; callbacks Oct 17; cutoff time not stated</x:v>
      </x:c>
      <x:c r="Z14" s="2" t="str">
        <x:v>Headshot, résumé, optional reel; indicate role; self-tape instructions via listing</x:v>
      </x:c>
      <x:c r="AA14" s="2" t="str">
        <x:v>Apply through listing; direct recipient not public</x:v>
      </x:c>
      <x:c r="AB14" s="2" t="str"/>
      <x:c r="AC14" s="2" t="str">
        <x:v>https://allcasting.com/castingcall/321852</x:v>
      </x:c>
      <x:c r="AD14" s="2" t="str">
        <x:v>AllCasting</x:v>
      </x:c>
      <x:c r="AE14" s="4" t="d">
        <x:v>2026-10-15T00:00:00.000Z</x:v>
      </x:c>
      <x:c r="AF14" s="2" t="str">
        <x:v>Full text reviewed</x:v>
      </x:c>
      <x:c r="AG14" s="2" t="str">
        <x:v>Student short; acting experience. Reel/credit not promised in listing.</x:v>
      </x:c>
      <x:c r="AH14" s="2" t="str">
        <x:v>Pay, exact cutoff, sides and direct recipient</x:v>
      </x:c>
    </x:row>
    <x:row r="15" ht="40" customHeight="1">
      <x:c r="A15" s="2" t="str">
        <x:v>NEIGH-DERIC</x:v>
      </x:c>
      <x:c r="B15" s="2" t="str">
        <x:v>To do</x:v>
      </x:c>
      <x:c r="C15" s="2" t="str">
        <x:v>Urgent</x:v>
      </x:c>
      <x:c r="D15" s="2" t="str">
        <x:v>Acting — film / TV</x:v>
      </x:c>
      <x:c r="E15" s="2" t="str">
        <x:v>The Neighbour</x:v>
      </x:c>
      <x:c r="F15" s="2" t="str">
        <x:v>Deric</x:v>
      </x:c>
      <x:c r="G15" s="4" t="d">
        <x:v>2026-10-15T00:00:00.000Z</x:v>
      </x:c>
      <x:c r="H15" s="2"/>
      <x:c r="I15" s="2" t="str">
        <x:v>Deadline passed</x:v>
      </x:c>
      <x:c r="J15" s="2" t="str">
        <x:v>Email materials and requested role</x:v>
      </x:c>
      <x:c r="K15" s="4"/>
      <x:c r="L15" s="4"/>
      <x:c r="M15" s="2" t="str"/>
      <x:c r="N15" s="2" t="str">
        <x:v>Unknown</x:v>
      </x:c>
      <x:c r="O15" s="2"/>
      <x:c r="P15" s="2" t="str"/>
      <x:c r="Q15" s="2" t="str">
        <x:v>Greater Vancouver</x:v>
      </x:c>
      <x:c r="R15" s="4" t="d">
        <x:v>2026-11-20T00:00:00.000Z</x:v>
      </x:c>
      <x:c r="S15" s="4" t="d">
        <x:v>2026-11-22T00:00:00.000Z</x:v>
      </x:c>
      <x:c r="T15" s="2" t="str"/>
      <x:c r="U15" s="2"/>
      <x:c r="V15" s="2" t="str">
        <x:v>Male, 30s; volatile father, threatening to shaken; legally eligible to work in Canada</x:v>
      </x:c>
      <x:c r="W15" s="2" t="str">
        <x:v>Union and non-union</x:v>
      </x:c>
      <x:c r="X15" s="2" t="str">
        <x:v>Self-tape if shortlisted; callback</x:v>
      </x:c>
      <x:c r="Y15" s="2" t="str">
        <x:v>Oct 22 callback, 142 Water Street, VFS Film Production</x:v>
      </x:c>
      <x:c r="Z15" s="2" t="str">
        <x:v>Résumé, headshot, optional demo reel; name requested role</x:v>
      </x:c>
      <x:c r="AA15" s="2" t="str">
        <x:v>theneighbour.production@outlook.com</x:v>
      </x:c>
      <x:c r="AB15" s="2" t="str"/>
      <x:c r="AC15" s="2" t="str">
        <x:v>https://www.facebook.com/groups/233914560287649/</x:v>
      </x:c>
      <x:c r="AD15" s="2" t="str">
        <x:v>BC Casting Call — Rakele Budroni</x:v>
      </x:c>
      <x:c r="AE15" s="4" t="d">
        <x:v>2026-10-15T00:00:00.000Z</x:v>
      </x:c>
      <x:c r="AF15" s="2" t="str">
        <x:v>Full text reviewed</x:v>
      </x:c>
      <x:c r="AG15" s="2" t="str">
        <x:v>VFS short film. Reel/credit terms need confirmation.</x:v>
      </x:c>
      <x:c r="AH15" s="2" t="str">
        <x:v>Pay, cutoff time; direct post URL not yet captured</x:v>
      </x:c>
    </x:row>
    <x:row r="16" ht="40" customHeight="1">
      <x:c r="A16" s="2" t="str">
        <x:v>NEIGH-GRETCHEN</x:v>
      </x:c>
      <x:c r="B16" s="2" t="str">
        <x:v>To do</x:v>
      </x:c>
      <x:c r="C16" s="2" t="str">
        <x:v>Urgent</x:v>
      </x:c>
      <x:c r="D16" s="2" t="str">
        <x:v>Acting — film / TV</x:v>
      </x:c>
      <x:c r="E16" s="2" t="str">
        <x:v>The Neighbour</x:v>
      </x:c>
      <x:c r="F16" s="2" t="str">
        <x:v>Gretchen</x:v>
      </x:c>
      <x:c r="G16" s="4" t="d">
        <x:v>2026-10-15T00:00:00.000Z</x:v>
      </x:c>
      <x:c r="H16" s="2"/>
      <x:c r="I16" s="2" t="str">
        <x:v>Deadline passed</x:v>
      </x:c>
      <x:c r="J16" s="2" t="str">
        <x:v>Email materials and requested role</x:v>
      </x:c>
      <x:c r="K16" s="4"/>
      <x:c r="L16" s="4"/>
      <x:c r="M16" s="2" t="str"/>
      <x:c r="N16" s="2" t="str">
        <x:v>Unknown</x:v>
      </x:c>
      <x:c r="O16" s="2"/>
      <x:c r="P16" s="2" t="str"/>
      <x:c r="Q16" s="2" t="str">
        <x:v>Greater Vancouver</x:v>
      </x:c>
      <x:c r="R16" s="4" t="d">
        <x:v>2026-11-20T00:00:00.000Z</x:v>
      </x:c>
      <x:c r="S16" s="4" t="d">
        <x:v>2026-11-22T00:00:00.000Z</x:v>
      </x:c>
      <x:c r="T16" s="2" t="str"/>
      <x:c r="U16" s="2"/>
      <x:c r="V16" s="2" t="str">
        <x:v>Female, 60s; legally eligible to work in Canada</x:v>
      </x:c>
      <x:c r="W16" s="2" t="str">
        <x:v>Union and non-union</x:v>
      </x:c>
      <x:c r="X16" s="2" t="str">
        <x:v>Self-tape if shortlisted; callback</x:v>
      </x:c>
      <x:c r="Y16" s="2" t="str">
        <x:v>Oct 22 callback, 142 Water Street, VFS Film Production</x:v>
      </x:c>
      <x:c r="Z16" s="2" t="str">
        <x:v>Résumé, headshot, optional demo reel; name requested role</x:v>
      </x:c>
      <x:c r="AA16" s="2" t="str">
        <x:v>theneighbour.production@outlook.com</x:v>
      </x:c>
      <x:c r="AB16" s="2" t="str"/>
      <x:c r="AC16" s="2" t="str">
        <x:v>https://www.facebook.com/groups/233914560287649/</x:v>
      </x:c>
      <x:c r="AD16" s="2" t="str">
        <x:v>BC Casting Call — Rakele Budroni</x:v>
      </x:c>
      <x:c r="AE16" s="4" t="d">
        <x:v>2026-10-15T00:00:00.000Z</x:v>
      </x:c>
      <x:c r="AF16" s="2" t="str">
        <x:v>Full text reviewed</x:v>
      </x:c>
      <x:c r="AG16" s="2" t="str">
        <x:v>VFS short film. Reel/credit terms need confirmation.</x:v>
      </x:c>
      <x:c r="AH16" s="2" t="str">
        <x:v>Pay, cutoff time; direct post URL not yet captured</x:v>
      </x:c>
    </x:row>
    <x:row r="17" ht="40" customHeight="1">
      <x:c r="A17" s="2" t="str">
        <x:v>NEIGH-ANNIE</x:v>
      </x:c>
      <x:c r="B17" s="2" t="str">
        <x:v>To do</x:v>
      </x:c>
      <x:c r="C17" s="2" t="str">
        <x:v>Urgent</x:v>
      </x:c>
      <x:c r="D17" s="2" t="str">
        <x:v>Acting — film / TV</x:v>
      </x:c>
      <x:c r="E17" s="2" t="str">
        <x:v>The Neighbour</x:v>
      </x:c>
      <x:c r="F17" s="2" t="str">
        <x:v>Annie</x:v>
      </x:c>
      <x:c r="G17" s="4" t="d">
        <x:v>2026-10-15T00:00:00.000Z</x:v>
      </x:c>
      <x:c r="H17" s="2"/>
      <x:c r="I17" s="2" t="str">
        <x:v>Deadline passed</x:v>
      </x:c>
      <x:c r="J17" s="2" t="str">
        <x:v>Email materials and requested role</x:v>
      </x:c>
      <x:c r="K17" s="4"/>
      <x:c r="L17" s="4"/>
      <x:c r="M17" s="2" t="str"/>
      <x:c r="N17" s="2" t="str">
        <x:v>Unknown</x:v>
      </x:c>
      <x:c r="O17" s="2"/>
      <x:c r="P17" s="2" t="str"/>
      <x:c r="Q17" s="2" t="str">
        <x:v>Greater Vancouver</x:v>
      </x:c>
      <x:c r="R17" s="4" t="d">
        <x:v>2026-11-20T00:00:00.000Z</x:v>
      </x:c>
      <x:c r="S17" s="4" t="d">
        <x:v>2026-11-22T00:00:00.000Z</x:v>
      </x:c>
      <x:c r="T17" s="2" t="str"/>
      <x:c r="U17" s="2"/>
      <x:c r="V17" s="2" t="str">
        <x:v>Female, 30s; legally eligible to work in Canada</x:v>
      </x:c>
      <x:c r="W17" s="2" t="str">
        <x:v>Union and non-union</x:v>
      </x:c>
      <x:c r="X17" s="2" t="str">
        <x:v>Self-tape if shortlisted; callback</x:v>
      </x:c>
      <x:c r="Y17" s="2" t="str">
        <x:v>Oct 22 callback, 142 Water Street, VFS Film Production</x:v>
      </x:c>
      <x:c r="Z17" s="2" t="str">
        <x:v>Résumé, headshot, optional demo reel; name requested role</x:v>
      </x:c>
      <x:c r="AA17" s="2" t="str">
        <x:v>theneighbour.production@outlook.com</x:v>
      </x:c>
      <x:c r="AB17" s="2" t="str"/>
      <x:c r="AC17" s="2" t="str">
        <x:v>https://www.facebook.com/groups/233914560287649/</x:v>
      </x:c>
      <x:c r="AD17" s="2" t="str">
        <x:v>BC Casting Call — Rakele Budroni</x:v>
      </x:c>
      <x:c r="AE17" s="4" t="d">
        <x:v>2026-10-15T00:00:00.000Z</x:v>
      </x:c>
      <x:c r="AF17" s="2" t="str">
        <x:v>Full text reviewed</x:v>
      </x:c>
      <x:c r="AG17" s="2" t="str">
        <x:v>VFS short film. Reel/credit terms need confirmation.</x:v>
      </x:c>
      <x:c r="AH17" s="2" t="str">
        <x:v>Pay, cutoff time; direct post URL not yet captured</x:v>
      </x:c>
    </x:row>
    <x:row r="18" ht="40" customHeight="1">
      <x:c r="A18" s="2" t="str">
        <x:v>NEIGH-PIXIE</x:v>
      </x:c>
      <x:c r="B18" s="2" t="str">
        <x:v>To do</x:v>
      </x:c>
      <x:c r="C18" s="2" t="str">
        <x:v>Urgent</x:v>
      </x:c>
      <x:c r="D18" s="2" t="str">
        <x:v>Acting — film / TV</x:v>
      </x:c>
      <x:c r="E18" s="2" t="str">
        <x:v>The Neighbour</x:v>
      </x:c>
      <x:c r="F18" s="2" t="str">
        <x:v>Pixie</x:v>
      </x:c>
      <x:c r="G18" s="4" t="d">
        <x:v>2026-10-15T00:00:00.000Z</x:v>
      </x:c>
      <x:c r="H18" s="2"/>
      <x:c r="I18" s="2" t="str">
        <x:v>Deadline passed</x:v>
      </x:c>
      <x:c r="J18" s="2" t="str">
        <x:v>Email materials and requested role</x:v>
      </x:c>
      <x:c r="K18" s="4"/>
      <x:c r="L18" s="4"/>
      <x:c r="M18" s="2" t="str"/>
      <x:c r="N18" s="2" t="str">
        <x:v>Unknown</x:v>
      </x:c>
      <x:c r="O18" s="2"/>
      <x:c r="P18" s="2" t="str"/>
      <x:c r="Q18" s="2" t="str">
        <x:v>Greater Vancouver</x:v>
      </x:c>
      <x:c r="R18" s="4" t="d">
        <x:v>2026-11-20T00:00:00.000Z</x:v>
      </x:c>
      <x:c r="S18" s="4" t="d">
        <x:v>2026-11-22T00:00:00.000Z</x:v>
      </x:c>
      <x:c r="T18" s="2" t="str"/>
      <x:c r="U18" s="2"/>
      <x:c r="V18" s="2" t="str">
        <x:v>Any gender, 10–14; legally eligible to work in Canada</x:v>
      </x:c>
      <x:c r="W18" s="2" t="str">
        <x:v>Union and non-union</x:v>
      </x:c>
      <x:c r="X18" s="2" t="str">
        <x:v>Self-tape if shortlisted; callback</x:v>
      </x:c>
      <x:c r="Y18" s="2" t="str">
        <x:v>Oct 22 callback, 142 Water Street, VFS Film Production</x:v>
      </x:c>
      <x:c r="Z18" s="2" t="str">
        <x:v>Résumé, headshot, optional demo reel; name requested role</x:v>
      </x:c>
      <x:c r="AA18" s="2" t="str">
        <x:v>theneighbour.production@outlook.com</x:v>
      </x:c>
      <x:c r="AB18" s="2" t="str"/>
      <x:c r="AC18" s="2" t="str">
        <x:v>https://www.facebook.com/groups/233914560287649/</x:v>
      </x:c>
      <x:c r="AD18" s="2" t="str">
        <x:v>BC Casting Call — Rakele Budroni</x:v>
      </x:c>
      <x:c r="AE18" s="4" t="d">
        <x:v>2026-10-15T00:00:00.000Z</x:v>
      </x:c>
      <x:c r="AF18" s="2" t="str">
        <x:v>Full text reviewed</x:v>
      </x:c>
      <x:c r="AG18" s="2" t="str">
        <x:v>VFS short film. Reel/credit terms need confirmation.</x:v>
      </x:c>
      <x:c r="AH18" s="2" t="str">
        <x:v>Pay, cutoff time; direct post URL not yet captured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9770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27" hidden="0" customWidth="1"/>
    <x:col min="4" max="4" width="29" hidden="0" customWidth="1"/>
    <x:col min="5" max="5" width="16" hidden="0" customWidth="1"/>
    <x:col min="6" max="6" width="16" hidden="0" customWidth="1"/>
    <x:col min="7" max="7" width="55" hidden="0" customWidth="1"/>
    <x:col min="8" max="8" width="43" hidden="0" customWidth="1"/>
    <x:col min="9" max="9" width="51" hidden="0" customWidth="1"/>
    <x:col min="10" max="10" width="18" hidden="0" customWidth="1"/>
    <x:col min="11" max="11" width="43" hidden="0" customWidth="1"/>
    <x:col min="12" max="12" width="65" hidden="0" customWidth="1"/>
  </x:cols>
  <x:sheetData>
    <x:row r="1" ht="33" customHeight="1">
      <x:c r="A1" s="46" t="str">
        <x:v>ID</x:v>
      </x:c>
      <x:c r="B1" s="46" t="str">
        <x:v>Organization / event</x:v>
      </x:c>
      <x:c r="C1" s="46" t="str">
        <x:v>Route</x:v>
      </x:c>
      <x:c r="D1" s="46" t="str">
        <x:v>Status</x:v>
      </x:c>
      <x:c r="E1" s="46" t="str">
        <x:v>Last outreach</x:v>
      </x:c>
      <x:c r="F1" s="46" t="str">
        <x:v>Reply date</x:v>
      </x:c>
      <x:c r="G1" s="46" t="str">
        <x:v>Next action</x:v>
      </x:c>
      <x:c r="H1" s="46" t="str">
        <x:v>Careers / opportunities</x:v>
      </x:c>
      <x:c r="I1" s="46" t="str">
        <x:v>Email thread</x:v>
      </x:c>
      <x:c r="J1" s="46" t="str">
        <x:v>Pay</x:v>
      </x:c>
      <x:c r="K1" s="46" t="str">
        <x:v>9-to-5 fit</x:v>
      </x:c>
      <x:c r="L1" s="46" t="str">
        <x:v>Notes</x:v>
      </x:c>
    </x:row>
    <x:row r="2" ht="84" customHeight="1">
      <x:c r="A2" s="50" t="str">
        <x:v>FVDED-2027</x:v>
      </x:c>
      <x:c r="B2" s="50" t="str">
        <x:v>FVDED in the Park / This Is Blueprint</x:v>
      </x:c>
      <x:c r="C2" s="50" t="str">
        <x:v>Freelance videography inquiry</x:v>
      </x:c>
      <x:c r="D2" s="50" t="str">
        <x:v>Declined: in-house content team</x:v>
      </x:c>
      <x:c r="E2" s="50" t="str">
        <x:v>2026-10-18</x:v>
      </x:c>
      <x:c r="F2" s="50" t="str">
        <x:v>2026-10-20</x:v>
      </x:c>
      <x:c r="G2" s="50" t="str">
        <x:v>Watch Blueprint careers and socials for content-team openings; connect with staff at local shows. No second generic freelance pitch.</x:v>
      </x:c>
      <x:c r="H2" s="50" t="str">
        <x:v>https://www.thisisblueprint.com/careers</x:v>
      </x:c>
      <x:c r="I2" s="50" t="str">
        <x:v>https://mail.google.com/mail/u/0/#all/1a15c3e9ad055b2a</x:v>
      </x:c>
      <x:c r="J2" s="50" t="str">
        <x:v>Not applicable</x:v>
      </x:c>
      <x:c r="K2" s="50" t="str">
        <x:v>Check role hours before applying; protect full-time job.</x:v>
      </x:c>
      <x:c r="L2" s="50" t="str">
        <x:v>Team replied that it does not hire freelance videographers and posts openings on its website and socials. This was an inquiry, not a formal job application.</x:v>
      </x:c>
    </x:row>
  </x:sheetData>
  <x:pageMargins left="0.7" right="0.7" top="0.75" bottom="0.75" header="0.3" footer="0.3"/>
</x:worksheet>
</file>