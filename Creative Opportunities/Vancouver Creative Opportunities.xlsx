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5271f7f8fa45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8316b4cecd0a49e4"/>
    <x:sheet xmlns:r="http://schemas.openxmlformats.org/officeDocument/2006/relationships" name="Opportunities" sheetId="2" r:id="R1d8b241f84534388"/>
    <x:sheet xmlns:r="http://schemas.openxmlformats.org/officeDocument/2006/relationships" name="Coverage" sheetId="3" r:id="R396cc96e38394c8b"/>
    <x:sheet xmlns:r="http://schemas.openxmlformats.org/officeDocument/2006/relationships" name="Past" sheetId="4" r:id="R67f4dffe263e4177"/>
    <x:sheet xmlns:r="http://schemas.openxmlformats.org/officeDocument/2006/relationships" name="Festival outreach" sheetId="5" r:id="R4b0348f071804a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mmm d, yyyy"/>
    <x:numFmt numFmtId="201" formatCode="0.00"/>
    <x:numFmt numFmtId="202" formatCode="0"/>
  </x:numFmts>
  <x:fonts count="11">
    <x:font>
      <x:sz val="11"/>
      <x:name val="Carlito"/>
    </x:font>
    <x:font>
      <x:sz val="10"/>
      <x:color rgb="FF64748B"/>
      <x:name val="Arial"/>
    </x:font>
    <x:font>
      <x:sz val="10"/>
      <x:color rgb="FF243247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0"/>
      <x:color rgb="FF26364D"/>
      <x:name val="Carlito"/>
    </x:font>
    <x:font>
      <x:b/>
      <x:sz val="16"/>
      <x:color rgb="FF26364D"/>
      <x:name val="Arial"/>
    </x:font>
    <x:font>
      <x:b/>
      <x:sz val="18"/>
      <x:color rgb="FFFFFFFF"/>
      <x:name val="Arial"/>
    </x:font>
    <x:font>
      <x:b/>
      <x:sz val="15"/>
      <x:color rgb="FF087F8C"/>
      <x:name val="Arial"/>
    </x:font>
    <x:font>
      <x:b/>
      <x:sz val="11"/>
      <x:color rgb="FFFFFFFF"/>
      <x:name val="Aptos"/>
    </x:font>
    <x:font>
      <x:sz val="10"/>
      <x:color rgb="FF1F2937"/>
      <x:name val="Aptos"/>
    </x:font>
  </x:fonts>
  <x:fills count="13">
    <x:fill>
      <x:patternFill patternType="none"/>
    </x:fill>
    <x:fill>
      <x:patternFill patternType="gray125"/>
    </x:fill>
    <x:fill>
      <x:patternFill patternType="solid">
        <x:fgColor rgb="FFE2E8F0"/>
      </x:patternFill>
    </x:fill>
    <x:fill>
      <x:patternFill patternType="solid">
        <x:fgColor rgb="FF26364D"/>
      </x:patternFill>
    </x:fill>
    <x:fill>
      <x:patternFill patternType="solid">
        <x:fgColor rgb="FFFFF3CC"/>
      </x:patternFill>
    </x:fill>
    <x:fill>
      <x:patternFill patternType="solid">
        <x:fgColor rgb="FF142D3B"/>
      </x:patternFill>
    </x:fill>
    <x:fill>
      <x:patternFill patternType="solid">
        <x:fgColor rgb="FF087F8C"/>
      </x:patternFill>
    </x:fill>
    <x:fill>
      <x:patternFill patternType="solid">
        <x:fgColor rgb="FFE6F4F1"/>
      </x:patternFill>
    </x:fill>
    <x:fill>
      <x:patternFill patternType="solid">
        <x:fgColor rgb="FF172554"/>
      </x:patternFill>
    </x:fill>
    <x:fill>
      <x:patternFill patternType="solid">
        <x:fgColor rgb="FFFFF7ED"/>
      </x:patternFill>
    </x:fill>
    <x:fill>
      <x:patternFill patternType="solid">
        <x:fgColor rgb="FFEFF6FF"/>
      </x:patternFill>
    </x:fill>
    <x:fill>
      <x:patternFill patternType="solid">
        <x:fgColor rgb="FFECFDF5"/>
      </x:patternFill>
    </x:fill>
    <x:fill>
      <x:patternFill patternType="solid">
        <x:fgColor rgb="FFEFF6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6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2" fillId="0" borderId="0" xfId="0" applyNumberFormat="1" applyFont="1" applyFill="1" applyBorder="1"/>
    <x:xf numFmtId="200" fontId="2" fillId="0" borderId="0" xfId="0" applyNumberFormat="1" applyFont="1" applyFill="1" applyBorder="1"/>
    <x:xf numFmtId="202" fontId="2" fillId="0" borderId="0" xfId="0" applyNumberFormat="1" applyFont="1" applyFill="1" applyBorder="1"/>
    <x:xf numFmtId="201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2" fontId="2" fillId="0" borderId="0" xfId="0" applyNumberFormat="1" applyFont="1" applyFill="1" applyBorder="1" applyAlignment="1">
      <x:alignment wrapText="1"/>
    </x:xf>
    <x:xf numFmtId="201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200" fontId="2" fillId="0" borderId="0" xfId="0" applyNumberFormat="1" applyFont="1" applyFill="1" applyBorder="1" applyAlignment="1">
      <x:alignment vertical="top" wrapText="1"/>
    </x:xf>
    <x:xf numFmtId="202" fontId="2" fillId="0" borderId="0" xfId="0" applyNumberFormat="1" applyFont="1" applyFill="1" applyBorder="1" applyAlignment="1">
      <x:alignment vertical="top" wrapText="1"/>
    </x:xf>
    <x:xf numFmtId="201" fontId="2" fillId="0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horizontal="center" vertical="top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2" fillId="4" borderId="0" xfId="0" applyNumberFormat="1" applyFont="1" applyFill="1" applyBorder="1" applyAlignment="1">
      <x:alignment vertical="top" wrapText="1"/>
    </x:xf>
    <x:xf numFmtId="200" fontId="2" fillId="4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3" borderId="0" xfId="0" applyNumberFormat="1" applyFont="1" applyFill="1" applyBorder="1"/>
    <x:xf numFmtId="0" fontId="3" fillId="3" borderId="0" xfId="0" applyNumberFormat="1" applyFont="1" applyFill="1" applyBorder="1"/>
    <x:xf numFmtId="200" fontId="4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0"/>
    </x:xf>
    <x:xf numFmtId="0" fontId="5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/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7" fillId="5" borderId="0" xfId="0" applyNumberFormat="1" applyFont="1" applyFill="1" applyBorder="1"/>
    <x:xf numFmtId="0" fontId="3" fillId="6" borderId="0" xfId="0" applyNumberFormat="1" applyFont="1" applyFill="1" applyBorder="1"/>
    <x:xf numFmtId="0" fontId="4" fillId="7" borderId="0" xfId="0" applyNumberFormat="1" applyFont="1" applyFill="1" applyBorder="1"/>
    <x:xf numFmtId="0" fontId="8" fillId="7" borderId="0" xfId="0" applyNumberFormat="1" applyFont="1" applyFill="1" applyBorder="1"/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0" xfId="0" applyNumberFormat="1" applyFont="1" applyFill="1" applyBorder="1" applyAlignment="1">
      <x:alignment wrapText="1"/>
    </x:xf>
    <x:xf numFmtId="0" fontId="10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0" xfId="0" applyNumberFormat="1" applyFont="1" applyFill="1" applyBorder="1" applyAlignment="1">
      <x:alignment wrapText="1"/>
    </x:xf>
    <x:xf numFmtId="0" fontId="10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10" fillId="12" borderId="0" xfId="0" applyNumberFormat="1" applyFont="1" applyFill="1" applyBorder="1" applyAlignment="1">
      <x:alignment wrapText="1"/>
    </x:xf>
    <x:xf numFmtId="0" fontId="10" fillId="1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9B241C"/>
      </x:font>
      <x:fill>
        <x:patternFill>
          <x:bgColor rgb="FFFFE3DE"/>
        </x:patternFill>
      </x:fill>
    </x:dxf>
    <x:dxf>
      <x:font>
        <x:color rgb="FF215C39"/>
      </x:font>
      <x:fill>
        <x:patternFill>
          <x:bgColor rgb="FFDCEFE2"/>
        </x:patternFill>
      </x:fill>
    </x:dxf>
    <x:dxf>
      <x:font>
        <x:color rgb="FF77366C"/>
      </x:font>
      <x:fill>
        <x:patternFill>
          <x:bgColor rgb="FFF2E3EF"/>
        </x:patternFill>
      </x:fill>
    </x:dxf>
    <x:dxf>
      <x:font>
        <x:color rgb="FF12634D"/>
      </x:font>
      <x:fill>
        <x:patternFill>
          <x:bgColor rgb="FFE6F4F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9b1bb56418490d" /><Relationship Type="http://schemas.openxmlformats.org/officeDocument/2006/relationships/theme" Target="/xl/theme/theme1.xml" Id="Rebca2d393e2e441b" /><Relationship Type="http://schemas.openxmlformats.org/officeDocument/2006/relationships/sharedStrings" Target="/xl/sharedStrings.xml" Id="Ra7310a94f2414ffb" /><Relationship Type="http://schemas.openxmlformats.org/officeDocument/2006/relationships/worksheet" Target="/xl/worksheets/sheet1.xml" Id="R8316b4cecd0a49e4" /><Relationship Type="http://schemas.openxmlformats.org/officeDocument/2006/relationships/worksheet" Target="/xl/worksheets/sheet2.xml" Id="R1d8b241f84534388" /><Relationship Type="http://schemas.openxmlformats.org/officeDocument/2006/relationships/worksheet" Target="/xl/worksheets/sheet3.xml" Id="R396cc96e38394c8b" /><Relationship Type="http://schemas.openxmlformats.org/officeDocument/2006/relationships/worksheet" Target="/xl/worksheets/sheet4.xml" Id="R67f4dffe263e4177" /><Relationship Type="http://schemas.openxmlformats.org/officeDocument/2006/relationships/worksheet" Target="/xl/worksheets/sheet5.xml" Id="R4b0348f071804a49" /></Relationships>
</file>

<file path=xl/tables/table1.xml><?xml version="1.0" encoding="utf-8"?>
<x:table xmlns:x="http://schemas.openxmlformats.org/spreadsheetml/2006/main" id="1" name="OpportunitiesTable" displayName="OpportunitiesTable" ref="A6:AH26" headerRowCount="1" totalsRowCount="0" totalsRowShown="0">
  <x:tableColumns count="34">
    <x:tableColumn id="1" name="ID"/>
    <x:tableColumn id="2" name="Application status"/>
    <x:tableColumn id="3" name="Your priority"/>
    <x:tableColumn id="4" name="Category"/>
    <x:tableColumn id="5" name="Project"/>
    <x:tableColumn id="6" name="Role"/>
    <x:tableColumn id="7" name="Deadline"/>
    <x:tableColumn id="8" name="Days left"/>
    <x:tableColumn id="9" name="Reminder"/>
    <x:tableColumn id="10" name="Next action"/>
    <x:tableColumn id="11" name="Submitted on"/>
    <x:tableColumn id="12" name="Follow-up on"/>
    <x:tableColumn id="13" name="Your notes"/>
    <x:tableColumn id="14" name="Pay type"/>
    <x:tableColumn id="15" name="Rate"/>
    <x:tableColumn id="16" name="Pay basis"/>
    <x:tableColumn id="17" name="Location"/>
    <x:tableColumn id="18" name="Shoot start"/>
    <x:tableColumn id="19" name="Shoot end"/>
    <x:tableColumn id="20" name="Schedule / hours"/>
    <x:tableColumn id="21" name="Before Dec 1?"/>
    <x:tableColumn id="22" name="Eligibility / fit"/>
    <x:tableColumn id="23" name="Union"/>
    <x:tableColumn id="24" name="Audition format"/>
    <x:tableColumn id="25" name="Audition / callback dates"/>
    <x:tableColumn id="26" name="Submission materials"/>
    <x:tableColumn id="27" name="Contact / recipient"/>
    <x:tableColumn id="28" name="Email subject"/>
    <x:tableColumn id="29" name="Application / source URL"/>
    <x:tableColumn id="30" name="Group / source"/>
    <x:tableColumn id="31" name="Checked on"/>
    <x:tableColumn id="32" name="Verification"/>
    <x:tableColumn id="33" name="Portfolio / equipment"/>
    <x:tableColumn id="34" name="Missing / confirm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ad40f0021274fa1" /></Relationships>
</file>

<file path=xl/worksheets/sheet1.xml><?xml version="1.0" encoding="utf-8"?>
<x:worksheet xmlns:x="http://schemas.openxmlformats.org/spreadsheetml/2006/main">
  <x:sheetPr>
    <x:tabColor rgb="FF26364D"/>
  </x:sheetPr>
  <x:sheetViews>
    <x:sheetView showGridLines="0" workbookViewId="0"/>
  </x:sheetViews>
  <x:sheetFormatPr defaultRowHeight="15"/>
  <x:cols>
    <x:col min="1" max="1" width="25" hidden="0" customWidth="1"/>
    <x:col min="2" max="2" width="17" hidden="0" customWidth="1"/>
    <x:col min="3" max="3" width="4" hidden="0" customWidth="1"/>
    <x:col min="4" max="4" width="30" hidden="0" customWidth="1"/>
    <x:col min="5" max="5" width="12" hidden="0" customWidth="1"/>
  </x:cols>
  <x:sheetData>
    <x:row r="1" ht="8" customHeight="1">
      <x:c r="A1" s="38"/>
      <x:c r="B1" s="38"/>
      <x:c r="C1" s="38"/>
      <x:c r="D1" s="38"/>
      <x:c r="E1" s="38"/>
      <x:c r="F1" s="38"/>
      <x:c r="G1" s="38"/>
      <x:c r="H1" s="38"/>
      <x:c r="I1" s="38"/>
      <x:c r="J1" s="38"/>
    </x:row>
    <x:row r="2" ht="32" customHeight="1">
      <x:c r="A2" s="40" t="str">
        <x:v>Your audition and creative-work queue</x:v>
      </x:c>
      <x:c r="B2" s="38"/>
      <x:c r="C2" s="38"/>
      <x:c r="D2" s="38"/>
      <x:c r="E2" s="38"/>
      <x:c r="F2" s="38"/>
      <x:c r="G2" s="38"/>
      <x:c r="H2" s="38"/>
      <x:c r="I2" s="38"/>
      <x:c r="J2" s="38"/>
    </x:row>
    <x:row r="4" ht="25" customHeight="1">
      <x:c r="A4" s="26" t="str">
        <x:v>Today</x:v>
      </x:c>
      <x:c r="B4" s="27" t="n">
        <x:f>TODAY()</x:f>
        <x:v>46318</x:v>
      </x:c>
      <x:c r="C4" s="26"/>
      <x:c r="D4" s="26"/>
      <x:c r="E4" s="26"/>
    </x:row>
    <x:row r="5" ht="25" customHeight="1">
      <x:c r="A5" s="26" t="str">
        <x:v>Departure</x:v>
      </x:c>
      <x:c r="B5" s="30" t="d">
        <x:v>2026-12-01T00:00:00.000Z</x:v>
      </x:c>
      <x:c r="C5" s="26"/>
      <x:c r="D5" s="26"/>
      <x:c r="E5" s="26"/>
    </x:row>
    <x:row r="6" ht="25" customHeight="1">
      <x:c r="A6" s="26" t="str">
        <x:v>Research checked</x:v>
      </x:c>
      <x:c r="B6" s="27" t="d">
        <x:v>2026-10-23T12:00:00.000Z</x:v>
      </x:c>
      <x:c r="C6" s="26"/>
      <x:c r="D6" s="26"/>
      <x:c r="E6" s="26"/>
    </x:row>
    <x:row r="7" ht="25" customHeight="1">
      <x:c r="A7" s="26"/>
      <x:c r="B7" s="26"/>
      <x:c r="C7" s="26"/>
      <x:c r="D7" s="26"/>
      <x:c r="E7" s="26"/>
    </x:row>
    <x:row r="8" ht="28" customHeight="1">
      <x:c r="A8" s="41" t="str">
        <x:v>APPLICATION STATUS</x:v>
      </x:c>
      <x:c r="B8" s="41" t="str">
        <x:v>ENTRIES</x:v>
      </x:c>
      <x:c r="C8" s="26"/>
      <x:c r="D8" s="41" t="str">
        <x:v>CATEGORY</x:v>
      </x:c>
      <x:c r="E8" s="41" t="str">
        <x:v>ENTRIES</x:v>
      </x:c>
    </x:row>
    <x:row r="9" ht="25" customHeight="1">
      <x:c r="A9" s="26" t="str">
        <x:v>To do</x:v>
      </x:c>
      <x:c r="B9" s="26" t="n">
        <x:f>COUNTIFS(Opportunities!$B$7:$B$1006,A9)</x:f>
        <x:v>30</x:v>
      </x:c>
      <x:c r="C9" s="26"/>
      <x:c r="D9" s="26" t="str">
        <x:v>Acting — film / TV</x:v>
      </x:c>
      <x:c r="E9" s="26" t="n">
        <x:f>COUNTIFS(Opportunities!$D$7:$D$1006,D9)</x:f>
        <x:v>6</x:v>
      </x:c>
    </x:row>
    <x:row r="10" ht="25" customHeight="1">
      <x:c r="A10" s="26" t="str">
        <x:v>Research needed</x:v>
      </x:c>
      <x:c r="B10" s="26" t="n">
        <x:f>COUNTIFS(Opportunities!$B$7:$B$1006,A10)</x:f>
        <x:v>10</x:v>
      </x:c>
      <x:c r="C10" s="26"/>
      <x:c r="D10" s="26" t="str">
        <x:v>Commercial / modeling</x:v>
      </x:c>
      <x:c r="E10" s="26" t="n">
        <x:f>COUNTIFS(Opportunities!$D$7:$D$1006,D10)</x:f>
        <x:v>3</x:v>
      </x:c>
    </x:row>
    <x:row r="11" ht="25" customHeight="1">
      <x:c r="A11" s="26" t="str">
        <x:v>Preparing</x:v>
      </x:c>
      <x:c r="B11" s="26" t="n">
        <x:f>COUNTIFS(Opportunities!$B$7:$B$1006,A11)</x:f>
        <x:v>0</x:v>
      </x:c>
      <x:c r="C11" s="26"/>
      <x:c r="D11" s="26" t="str">
        <x:v>Background / stand-in</x:v>
      </x:c>
      <x:c r="E11" s="26" t="n">
        <x:f>COUNTIFS(Opportunities!$D$7:$D$1006,D11)</x:f>
        <x:v>3</x:v>
      </x:c>
    </x:row>
    <x:row r="12" ht="25" customHeight="1">
      <x:c r="A12" s="26" t="str">
        <x:v>Submitted</x:v>
      </x:c>
      <x:c r="B12" s="26" t="n">
        <x:f>COUNTIFS(Opportunities!$B$7:$B$1006,A12)</x:f>
        <x:v>1</x:v>
      </x:c>
      <x:c r="C12" s="26"/>
      <x:c r="D12" s="26" t="str">
        <x:v>Commercial / comedy</x:v>
      </x:c>
      <x:c r="E12" s="26" t="n">
        <x:f>COUNTIFS(Opportunities!$D$7:$D$1006,D12)</x:f>
        <x:v>9</x:v>
      </x:c>
    </x:row>
    <x:row r="13" ht="25" customHeight="1">
      <x:c r="A13" s="26" t="str">
        <x:v>Waitlisted</x:v>
      </x:c>
      <x:c r="B13" s="26" t="n">
        <x:f>COUNTIFS(Opportunities!$B$7:$B$1006,A13)</x:f>
        <x:v>0</x:v>
      </x:c>
      <x:c r="C13" s="26"/>
      <x:c r="D13" s="26" t="str">
        <x:v>DOP / camera / crew</x:v>
      </x:c>
      <x:c r="E13" s="26" t="n">
        <x:f>COUNTIFS(Opportunities!$D$7:$D$1006,D13)</x:f>
        <x:v>3</x:v>
      </x:c>
    </x:row>
    <x:row r="14" ht="25" customHeight="1">
      <x:c r="A14" s="26" t="str">
        <x:v>Callback</x:v>
      </x:c>
      <x:c r="B14" s="26" t="n">
        <x:f>COUNTIFS(Opportunities!$B$7:$B$1006,A14)</x:f>
        <x:v>0</x:v>
      </x:c>
      <x:c r="C14" s="26"/>
      <x:c r="D14" s="26" t="str">
        <x:v>Videography / editing</x:v>
      </x:c>
      <x:c r="E14" s="26" t="n">
        <x:f>COUNTIFS(Opportunities!$D$7:$D$1006,D14)</x:f>
        <x:v>3</x:v>
      </x:c>
    </x:row>
    <x:row r="15" ht="25" customHeight="1">
      <x:c r="A15" s="26" t="str">
        <x:v>Booked</x:v>
      </x:c>
      <x:c r="B15" s="26" t="n">
        <x:f>COUNTIFS(Opportunities!$B$7:$B$1006,A15)</x:f>
        <x:v>0</x:v>
      </x:c>
      <x:c r="C15" s="26"/>
      <x:c r="D15" s="26" t="str">
        <x:v>Theatre / live performance</x:v>
      </x:c>
      <x:c r="E15" s="26" t="n">
        <x:f>COUNTIFS(Opportunities!$D$7:$D$1006,D15)</x:f>
        <x:v>4</x:v>
      </x:c>
    </x:row>
    <x:row r="16" ht="25" customHeight="1">
      <x:c r="A16" s="26" t="str">
        <x:v>Passed</x:v>
      </x:c>
      <x:c r="B16" s="26" t="n">
        <x:f>COUNTIFS(Opportunities!$B$7:$B$1006,A16)</x:f>
        <x:v>0</x:v>
      </x:c>
      <x:c r="C16" s="26"/>
      <x:c r="D16" s="26"/>
      <x:c r="E16" s="26"/>
    </x:row>
    <x:row r="17" ht="25" customHeight="1">
      <x:c r="A17" s="26" t="str">
        <x:v>Closed</x:v>
      </x:c>
      <x:c r="B17" s="26" t="n">
        <x:f>COUNTIFS(Opportunities!$B$7:$B$1006,A17)</x:f>
        <x:v>0</x:v>
      </x:c>
      <x:c r="C17" s="26"/>
      <x:c r="D17" s="42" t="str">
        <x:v>Due today</x:v>
      </x:c>
      <x:c r="E17" s="43" t="n">
        <x:f>COUNTIFS(Opportunities!$I$7:$I$1006,"Due today")</x:f>
        <x:v>0</x:v>
      </x:c>
    </x:row>
    <x:row r="18" ht="25" customHeight="1">
      <x:c r="A18" s="26"/>
      <x:c r="B18" s="26"/>
      <x:c r="C18" s="26"/>
      <x:c r="D18" s="42" t="str">
        <x:v>Due within 3 days</x:v>
      </x:c>
      <x:c r="E18" s="43" t="n">
        <x:f>COUNTIFS(Opportunities!$I$7:$I$1006,"Due within 3 days")</x:f>
        <x:v>1</x:v>
      </x:c>
    </x:row>
    <x:row r="19" ht="25" customHeight="1">
      <x:c r="A19" s="26"/>
      <x:c r="B19" s="26"/>
      <x:c r="C19" s="26"/>
      <x:c r="D19" s="42" t="str">
        <x:v>Follow up now</x:v>
      </x:c>
      <x:c r="E19" s="43" t="n">
        <x:f>COUNTIFS(Opportunities!$I$7:$I$1006,"Follow up")</x:f>
        <x:v>0</x:v>
      </x:c>
    </x:row>
    <x:row r="21">
      <x:c r="A21" s="32" t="str">
        <x:v>HOW TO USE THIS FILE</x:v>
      </x:c>
    </x:row>
    <x:row r="22" ht="26" customHeight="1">
      <x:c r="A22" s="31" t="str">
        <x:v>Open Opportunities and use the header filters. Each role has a stable ID; multiple roles can belong to one project.</x:v>
      </x:c>
    </x:row>
    <x:row r="23" ht="26" customHeight="1">
      <x:c r="A23" s="31" t="str">
        <x:v>Change Application status instead of deleting or crossing out rows. Amber fields are yours: status, priority, submitted date, follow-up date and notes.</x:v>
      </x:c>
    </x:row>
    <x:row r="24" ht="26" customHeight="1">
      <x:c r="A24" s="31" t="str">
        <x:v>Submitted means your application was actually sent. Waitlisted, Callback and Booked track the outcome; do not infer success from silence.</x:v>
      </x:c>
    </x:row>
    <x:row r="25" ht="26" customHeight="1">
      <x:c r="A25" s="31" t="str">
        <x:v>Add a Follow-up on date for your own reminder. Submitted and waitlisted entries stop application-deadline reminders.</x:v>
      </x:c>
    </x:row>
    <x:row r="26" ht="26" customHeight="1">
      <x:c r="A26" s="31" t="str">
        <x:v>Save this same workbook after editing. Codex reads saved changes at the next review; this is not an instant shared live session.</x:v>
      </x:c>
    </x:row>
    <x:row r="27" ht="26" customHeight="1">
      <x:c r="A27" s="31" t="str">
        <x:v>Keep the file path unchanged. If you move or rename it, tell Codex the new path. Close Excel before a scheduled refresh to avoid a file lock.</x:v>
      </x:c>
    </x:row>
    <x:row r="28" ht="26" customHeight="1">
      <x:c r="A28" s="31" t="str">
        <x:v>5pm and 9pm Vancouver reviews should read this file first, preserve your edits, add new records, and remind only on relevant unfinished actions.</x:v>
      </x:c>
    </x:row>
    <x:row r="29" ht="26" customHeight="1">
      <x:c r="A29" s="31" t="str">
        <x:v>Focus is new and upcoming opportunities from Facebook and Backstage. Past deadlines are retained on Past; no exhaustive historical search.</x:v>
      </x:c>
    </x:row>
    <x:row r="30" ht="26" customHeight="1">
      <x:c r="A30" s="31" t="str">
        <x:v>Dates are Vancouver-local unless a listing says otherwise. Blank deadline/rate means unknown, never zero or automatically open.</x:v>
      </x:c>
    </x:row>
    <x:row r="31" ht="26" customHeight="1">
      <x:c r="A31" s="31" t="str">
        <x:v>Before Dec 1? checks shoot dates only. Ongoing jobs, unknown dates and post-trip productions need your availability confirmation.</x:v>
      </x:c>
    </x:row>
    <x:row r="32" ht="26" customHeight="1">
      <x:c r="A32" s="31" t="str">
        <x:v>No messages or applications are sent by updating this workbook. You submit applications; Codex researches and maintains the tracker.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B68124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1" hidden="0" customWidth="1"/>
    <x:col min="2" max="2" width="20" hidden="0" customWidth="1"/>
    <x:col min="3" max="3" width="20" hidden="0" customWidth="1"/>
    <x:col min="4" max="4" width="25" hidden="0" customWidth="1"/>
    <x:col min="5" max="5" width="27" hidden="0" customWidth="1"/>
    <x:col min="6" max="6" width="29" hidden="0" customWidth="1"/>
    <x:col min="7" max="7" width="16" hidden="0" customWidth="1"/>
    <x:col min="8" max="8" width="10" hidden="0" customWidth="1"/>
    <x:col min="9" max="9" width="22" hidden="0" customWidth="1"/>
    <x:col min="10" max="10" width="42" hidden="0" customWidth="1"/>
    <x:col min="11" max="11" width="16" hidden="0" customWidth="1"/>
    <x:col min="12" max="12" width="16" hidden="0" customWidth="1"/>
    <x:col min="13" max="13" width="38" hidden="0" customWidth="1"/>
    <x:col min="14" max="14" width="21" hidden="0" customWidth="1"/>
    <x:col min="15" max="15" width="12" hidden="0" customWidth="1"/>
    <x:col min="16" max="16" width="32" hidden="0" customWidth="1"/>
    <x:col min="17" max="17" width="25" hidden="0" customWidth="1"/>
    <x:col min="18" max="18" width="16" hidden="0" customWidth="1"/>
    <x:col min="19" max="19" width="16" hidden="0" customWidth="1"/>
    <x:col min="20" max="20" width="40" hidden="0" customWidth="1"/>
    <x:col min="21" max="21" width="22" hidden="0" customWidth="1"/>
    <x:col min="22" max="22" width="45" hidden="0" customWidth="1"/>
    <x:col min="23" max="23" width="25" hidden="0" customWidth="1"/>
    <x:col min="24" max="24" width="35" hidden="0" customWidth="1"/>
    <x:col min="25" max="25" width="42" hidden="0" customWidth="1"/>
    <x:col min="26" max="26" width="46" hidden="0" customWidth="1"/>
    <x:col min="27" max="27" width="43" hidden="0" customWidth="1"/>
    <x:col min="28" max="28" width="43" hidden="0" customWidth="1"/>
    <x:col min="29" max="29" width="65" hidden="0" customWidth="1"/>
    <x:col min="30" max="30" width="40" hidden="0" customWidth="1"/>
    <x:col min="31" max="31" width="16" hidden="0" customWidth="1"/>
    <x:col min="32" max="32" width="38" hidden="0" customWidth="1"/>
    <x:col min="33" max="33" width="50" hidden="0" customWidth="1"/>
    <x:col min="34" max="34" width="44" hidden="0" customWidth="1"/>
  </x:cols>
  <x:sheetData>
    <x:row r="1" ht="8" customHeight="1">
      <x:c r="A1" s="38"/>
      <x:c r="B1" s="38"/>
      <x:c r="C1" s="38"/>
      <x:c r="D1" s="38"/>
      <x:c r="E1" s="38"/>
      <x:c r="F1" s="38"/>
      <x:c r="G1" s="38"/>
      <x:c r="H1" s="38"/>
      <x:c r="I1" s="38"/>
      <x:c r="J1" s="38"/>
    </x:row>
    <x:row r="2" ht="32" customHeight="1">
      <x:c r="A2" s="40" t="str">
        <x:v>Vancouver creative opportunities</x:v>
      </x:c>
      <x:c r="B2" s="38"/>
      <x:c r="C2" s="38"/>
      <x:c r="D2" s="38"/>
      <x:c r="E2" s="38"/>
      <x:c r="F2" s="38"/>
      <x:c r="G2" s="38"/>
      <x:c r="H2" s="38"/>
      <x:c r="I2" s="38"/>
      <x:c r="J2" s="38"/>
    </x:row>
    <x:row r="3">
      <x:c r="A3" t="str">
        <x:v>Edit amber fields. Filter Category, Application status, Deadline and Before Dec 1? to build your queue.</x:v>
      </x:c>
    </x:row>
    <x:row r="4">
      <x:c r="A4" t="str">
        <x:v>Coverage is partial. Unknown deadline is not proof that a role remains open. Source details are to the right.</x:v>
      </x:c>
    </x:row>
    <x:row r="6" ht="34" customHeight="1">
      <x:c r="A6" s="23" t="str">
        <x:v>ID</x:v>
      </x:c>
      <x:c r="B6" s="23" t="str">
        <x:v>Application status</x:v>
      </x:c>
      <x:c r="C6" s="23" t="str">
        <x:v>Your priority</x:v>
      </x:c>
      <x:c r="D6" s="23" t="str">
        <x:v>Category</x:v>
      </x:c>
      <x:c r="E6" s="23" t="str">
        <x:v>Project</x:v>
      </x:c>
      <x:c r="F6" s="23" t="str">
        <x:v>Role</x:v>
      </x:c>
      <x:c r="G6" s="23" t="str">
        <x:v>Deadline</x:v>
      </x:c>
      <x:c r="H6" s="23" t="str">
        <x:v>Days left</x:v>
      </x:c>
      <x:c r="I6" s="23" t="str">
        <x:v>Reminder</x:v>
      </x:c>
      <x:c r="J6" s="23" t="str">
        <x:v>Next action</x:v>
      </x:c>
      <x:c r="K6" s="23" t="str">
        <x:v>Submitted on</x:v>
      </x:c>
      <x:c r="L6" s="23" t="str">
        <x:v>Follow-up on</x:v>
      </x:c>
      <x:c r="M6" s="23" t="str">
        <x:v>Your notes</x:v>
      </x:c>
      <x:c r="N6" s="23" t="str">
        <x:v>Pay type</x:v>
      </x:c>
      <x:c r="O6" s="23" t="str">
        <x:v>Rate</x:v>
      </x:c>
      <x:c r="P6" s="23" t="str">
        <x:v>Pay basis</x:v>
      </x:c>
      <x:c r="Q6" s="23" t="str">
        <x:v>Location</x:v>
      </x:c>
      <x:c r="R6" s="23" t="str">
        <x:v>Shoot start</x:v>
      </x:c>
      <x:c r="S6" s="23" t="str">
        <x:v>Shoot end</x:v>
      </x:c>
      <x:c r="T6" s="23" t="str">
        <x:v>Schedule / hours</x:v>
      </x:c>
      <x:c r="U6" s="23" t="str">
        <x:v>Before Dec 1?</x:v>
      </x:c>
      <x:c r="V6" s="23" t="str">
        <x:v>Eligibility / fit</x:v>
      </x:c>
      <x:c r="W6" s="23" t="str">
        <x:v>Union</x:v>
      </x:c>
      <x:c r="X6" s="23" t="str">
        <x:v>Audition format</x:v>
      </x:c>
      <x:c r="Y6" s="23" t="str">
        <x:v>Audition / callback dates</x:v>
      </x:c>
      <x:c r="Z6" s="23" t="str">
        <x:v>Submission materials</x:v>
      </x:c>
      <x:c r="AA6" s="23" t="str">
        <x:v>Contact / recipient</x:v>
      </x:c>
      <x:c r="AB6" s="23" t="str">
        <x:v>Email subject</x:v>
      </x:c>
      <x:c r="AC6" s="23" t="str">
        <x:v>Application / source URL</x:v>
      </x:c>
      <x:c r="AD6" s="23" t="str">
        <x:v>Group / source</x:v>
      </x:c>
      <x:c r="AE6" s="23" t="str">
        <x:v>Checked on</x:v>
      </x:c>
      <x:c r="AF6" s="23" t="str">
        <x:v>Verification</x:v>
      </x:c>
      <x:c r="AG6" s="23" t="str">
        <x:v>Portfolio / equipment</x:v>
      </x:c>
      <x:c r="AH6" s="23" t="str">
        <x:v>Missing / confirm</x:v>
      </x:c>
    </x:row>
    <x:row r="7" ht="48" customHeight="1">
      <x:c r="A7" s="16" t="str">
        <x:v>HOTEL-MAN</x:v>
      </x:c>
      <x:c r="B7" s="24" t="str">
        <x:v>To do</x:v>
      </x:c>
      <x:c r="C7" s="24" t="str">
        <x:v>Urgent</x:v>
      </x:c>
      <x:c r="D7" s="16" t="str">
        <x:v>Commercial / modeling</x:v>
      </x:c>
      <x:c r="E7" s="16" t="str">
        <x:v>Hotel brand video/photoshoot</x:v>
      </x:c>
      <x:c r="F7" s="16" t="str">
        <x:v>Man</x:v>
      </x:c>
      <x:c r="G7" s="17" t="d">
        <x:v>2026-10-16T00:00:00.000Z</x:v>
      </x:c>
      <x:c r="H7" s="18" t="n">
        <x:f>IF(G7="","",INT(G7)-INT(Overview!$B$4))</x:f>
        <x:v>-7</x:v>
      </x:c>
      <x:c r="I7" s="16" t="str">
        <x:f>IF(OR(B7="Passed",B7="Closed"),"No action",IF(OR(B7="Submitted",B7="Waitlisted",B7="Callback",B7="Booked"),IF(L7="","Track outcome",IF(L7&lt;=Overview!$B$4,"Follow up","Follow-up scheduled")),IF(G7="","Confirm deadline",IF(H7&lt;0,"Deadline passed",IF(H7=0,"Due today",IF(H7&lt;=3,"Due within 3 days","Open queue"))))))</x:f>
        <x:v>Deadline passed</x:v>
      </x:c>
      <x:c r="J7" s="16" t="str">
        <x:v>Apply through listing</x:v>
      </x:c>
      <x:c r="K7" s="25"/>
      <x:c r="L7" s="25"/>
      <x:c r="M7" s="24" t="str"/>
      <x:c r="N7" s="16" t="str">
        <x:v>Paid</x:v>
      </x:c>
      <x:c r="O7" s="19"/>
      <x:c r="P7" s="16" t="str"/>
      <x:c r="Q7" s="16" t="str">
        <x:v>Greater Vancouver</x:v>
      </x:c>
      <x:c r="R7" s="17" t="d">
        <x:v>2026-10-22T00:00:00.000Z</x:v>
      </x:c>
      <x:c r="S7" s="17" t="d">
        <x:v>2026-10-22T00:00:00.000Z</x:v>
      </x:c>
      <x:c r="T7" s="16" t="str">
        <x:v>4-hour shoot; time TBD</x:v>
      </x:c>
      <x:c r="U7" s="16" t="str">
        <x:f>IF(R7="","Dates unknown",IF(R7&gt;=Overview!$B$5,"After departure",IF(S7="","End unknown",IF(S7&gt;=Overview!$B$5,"Overlaps departure","Before departure"))))</x:f>
        <x:v>Before departure</x:v>
      </x:c>
      <x:c r="V7" s="16" t="str">
        <x:v>Male 25–40, all ethnicities; local; fit/active/wellness-oriented preferred</x:v>
      </x:c>
      <x:c r="W7" s="16" t="str">
        <x:v>Not stated</x:v>
      </x:c>
      <x:c r="X7" s="16" t="str">
        <x:v>Not stated</x:v>
      </x:c>
      <x:c r="Y7" s="16" t="str"/>
      <x:c r="Z7" s="16" t="str">
        <x:v>Not stated publicly</x:v>
      </x:c>
      <x:c r="AA7" s="16" t="str">
        <x:v>Listing application</x:v>
      </x:c>
      <x:c r="AB7" s="16" t="str"/>
      <x:c r="AC7" s="16" t="str">
        <x:v>https://allcasting.com/castingcall/322489</x:v>
      </x:c>
      <x:c r="AD7" s="16" t="str">
        <x:v>AllCasting</x:v>
      </x:c>
      <x:c r="AE7" s="17" t="d">
        <x:v>2026-10-15T00:00:00.000Z</x:v>
      </x:c>
      <x:c r="AF7" s="16" t="str">
        <x:v>Full text reviewed</x:v>
      </x:c>
      <x:c r="AG7" s="16" t="str">
        <x:v>Commercial on-camera experience; usage/reel rights need confirmation</x:v>
      </x:c>
      <x:c r="AH7" s="16" t="str">
        <x:v>Rate, materials, audition format and cutoff time</x:v>
      </x:c>
    </x:row>
    <x:row r="8" ht="48" customHeight="1">
      <x:c r="A8" s="16" t="str">
        <x:v>HOTEL-WOMAN</x:v>
      </x:c>
      <x:c r="B8" s="24" t="str">
        <x:v>To do</x:v>
      </x:c>
      <x:c r="C8" s="24" t="str">
        <x:v>Urgent</x:v>
      </x:c>
      <x:c r="D8" s="16" t="str">
        <x:v>Commercial / modeling</x:v>
      </x:c>
      <x:c r="E8" s="16" t="str">
        <x:v>Hotel brand video/photoshoot</x:v>
      </x:c>
      <x:c r="F8" s="16" t="str">
        <x:v>Woman</x:v>
      </x:c>
      <x:c r="G8" s="17" t="d">
        <x:v>2026-10-16T00:00:00.000Z</x:v>
      </x:c>
      <x:c r="H8" s="18" t="n">
        <x:f>IF(G8="","",INT(G8)-INT(Overview!$B$4))</x:f>
        <x:v>-7</x:v>
      </x:c>
      <x:c r="I8" s="16" t="str">
        <x:f>IF(OR(B8="Passed",B8="Closed"),"No action",IF(OR(B8="Submitted",B8="Waitlisted",B8="Callback",B8="Booked"),IF(L8="","Track outcome",IF(L8&lt;=Overview!$B$4,"Follow up","Follow-up scheduled")),IF(G8="","Confirm deadline",IF(H8&lt;0,"Deadline passed",IF(H8=0,"Due today",IF(H8&lt;=3,"Due within 3 days","Open queue"))))))</x:f>
        <x:v>Deadline passed</x:v>
      </x:c>
      <x:c r="J8" s="16" t="str">
        <x:v>Apply through listing</x:v>
      </x:c>
      <x:c r="K8" s="25"/>
      <x:c r="L8" s="25"/>
      <x:c r="M8" s="24" t="str"/>
      <x:c r="N8" s="16" t="str">
        <x:v>Paid</x:v>
      </x:c>
      <x:c r="O8" s="19"/>
      <x:c r="P8" s="16" t="str"/>
      <x:c r="Q8" s="16" t="str">
        <x:v>Greater Vancouver</x:v>
      </x:c>
      <x:c r="R8" s="17" t="d">
        <x:v>2026-10-22T00:00:00.000Z</x:v>
      </x:c>
      <x:c r="S8" s="17" t="d">
        <x:v>2026-10-22T00:00:00.000Z</x:v>
      </x:c>
      <x:c r="T8" s="16" t="str">
        <x:v>4-hour shoot; time TBD</x:v>
      </x:c>
      <x:c r="U8" s="16" t="str">
        <x:f>IF(R8="","Dates unknown",IF(R8&gt;=Overview!$B$5,"After departure",IF(S8="","End unknown",IF(S8&gt;=Overview!$B$5,"Overlaps departure","Before departure"))))</x:f>
        <x:v>Before departure</x:v>
      </x:c>
      <x:c r="V8" s="16" t="str">
        <x:v>Female 25–40, all ethnicities; local; fit/active/wellness-oriented preferred</x:v>
      </x:c>
      <x:c r="W8" s="16" t="str">
        <x:v>Not stated</x:v>
      </x:c>
      <x:c r="X8" s="16" t="str">
        <x:v>Not stated</x:v>
      </x:c>
      <x:c r="Y8" s="16" t="str"/>
      <x:c r="Z8" s="16" t="str">
        <x:v>Not stated publicly</x:v>
      </x:c>
      <x:c r="AA8" s="16" t="str">
        <x:v>Listing application</x:v>
      </x:c>
      <x:c r="AB8" s="16" t="str"/>
      <x:c r="AC8" s="16" t="str">
        <x:v>https://allcasting.com/castingcall/322489</x:v>
      </x:c>
      <x:c r="AD8" s="16" t="str">
        <x:v>AllCasting</x:v>
      </x:c>
      <x:c r="AE8" s="17" t="d">
        <x:v>2026-10-15T00:00:00.000Z</x:v>
      </x:c>
      <x:c r="AF8" s="16" t="str">
        <x:v>Full text reviewed</x:v>
      </x:c>
      <x:c r="AG8" s="16" t="str">
        <x:v>Commercial on-camera experience; usage/reel rights need confirmation</x:v>
      </x:c>
      <x:c r="AH8" s="16" t="str">
        <x:v>Rate, materials, audition format and cutoff time</x:v>
      </x:c>
    </x:row>
    <x:row r="9" ht="48" customHeight="1">
      <x:c r="A9" s="16" t="str">
        <x:v>AYLEX-VIDEO</x:v>
      </x:c>
      <x:c r="B9" s="24" t="str">
        <x:v>To do</x:v>
      </x:c>
      <x:c r="C9" s="24" t="str">
        <x:v>High</x:v>
      </x:c>
      <x:c r="D9" s="16" t="str">
        <x:v>Videography / editing</x:v>
      </x:c>
      <x:c r="E9" s="16" t="str">
        <x:v>Aylex Academies</x:v>
      </x:c>
      <x:c r="F9" s="16" t="str">
        <x:v>Videographer</x:v>
      </x:c>
      <x:c r="G9" s="17" t="d">
        <x:v>2026-10-19T00:00:00.000Z</x:v>
      </x:c>
      <x:c r="H9" s="18" t="n">
        <x:f>IF(G9="","",INT(G9)-INT(Overview!$B$4))</x:f>
        <x:v>-4</x:v>
      </x:c>
      <x:c r="I9" s="16" t="str">
        <x:f>IF(OR(B9="Passed",B9="Closed"),"No action",IF(OR(B9="Submitted",B9="Waitlisted",B9="Callback",B9="Booked"),IF(L9="","Track outcome",IF(L9&lt;=Overview!$B$4,"Follow up","Follow-up scheduled")),IF(G9="","Confirm deadline",IF(H9&lt;0,"Deadline passed",IF(H9=0,"Due today",IF(H9&lt;=3,"Due within 3 days","Open queue"))))))</x:f>
        <x:v>Deadline passed</x:v>
      </x:c>
      <x:c r="J9" s="16" t="str">
        <x:v>Review job application instructions and submit portfolio/résumé as requested</x:v>
      </x:c>
      <x:c r="K9" s="25"/>
      <x:c r="L9" s="25"/>
      <x:c r="M9" s="24" t="str"/>
      <x:c r="N9" s="16" t="str">
        <x:v>Paid</x:v>
      </x:c>
      <x:c r="O9" s="19" t="n">
        <x:v>25</x:v>
      </x:c>
      <x:c r="P9" s="16" t="str">
        <x:v>CAD/hour; 20 hours/week</x:v>
      </x:c>
      <x:c r="Q9" s="16" t="str">
        <x:v>Vancouver; various locations</x:v>
      </x:c>
      <x:c r="R9" s="17"/>
      <x:c r="S9" s="17"/>
      <x:c r="T9" s="16" t="str">
        <x:v>Permanent part-time; daytime; starts ASAP</x:v>
      </x:c>
      <x:c r="U9" s="16" t="str">
        <x:f>IF(R9="","Dates unknown",IF(R9&gt;=Overview!$B$5,"After departure",IF(S9="","End unknown",IF(S9&gt;=Overview!$B$5,"Overlaps departure","Before departure"))))</x:f>
        <x:v>Dates unknown</x:v>
      </x:c>
      <x:c r="V9" s="16" t="str">
        <x:v>Authorized to work in Canada; English; experience an asset; sports filming; frequent travel</x:v>
      </x:c>
      <x:c r="W9" s="16" t="str">
        <x:v>Not stated</x:v>
      </x:c>
      <x:c r="X9" s="16" t="str">
        <x:v>Not stated</x:v>
      </x:c>
      <x:c r="Y9" s="16" t="str"/>
      <x:c r="Z9" s="16" t="str">
        <x:v>Application instructions behind Show how to apply</x:v>
      </x:c>
      <x:c r="AA9" s="16" t="str">
        <x:v>Show how to apply on Job Bank</x:v>
      </x:c>
      <x:c r="AB9" s="16" t="str"/>
      <x:c r="AC9" s="16" t="str">
        <x:v>https://ns.jobbank.gc.ca/jobsearch/jobposting/50427218</x:v>
      </x:c>
      <x:c r="AD9" s="16" t="str">
        <x:v>Job Bank #3686340</x:v>
      </x:c>
      <x:c r="AE9" s="17" t="d">
        <x:v>2026-10-15T00:00:00.000Z</x:v>
      </x:c>
      <x:c r="AF9" s="16" t="str">
        <x:v>Full text reviewed</x:v>
      </x:c>
      <x:c r="AG9" s="16" t="str">
        <x:v>Paid sports videography; ongoing employment may conflict with Dec 1 travel</x:v>
      </x:c>
      <x:c r="AH9" s="16" t="str">
        <x:v>Equipment supplied, exact schedule, application contact</x:v>
      </x:c>
    </x:row>
    <x:row r="10" ht="48" customHeight="1">
      <x:c r="A10" s="16" t="str">
        <x:v>MISTAKE-BEN</x:v>
      </x:c>
      <x:c r="B10" s="24" t="str">
        <x:v>Submitted</x:v>
      </x:c>
      <x:c r="C10" s="24" t="str">
        <x:v>High</x:v>
      </x:c>
      <x:c r="D10" s="16" t="str">
        <x:v>Acting — film / TV</x:v>
      </x:c>
      <x:c r="E10" s="16" t="str">
        <x:v>A Mistake</x:v>
      </x:c>
      <x:c r="F10" s="16" t="str">
        <x:v>Ben</x:v>
      </x:c>
      <x:c r="G10" s="17" t="d">
        <x:v>2026-10-20T00:00:00.000Z</x:v>
      </x:c>
      <x:c r="H10" s="18" t="n">
        <x:f>IF(G10="","",INT(G10)-INT(Overview!$B$4))</x:f>
        <x:v>-3</x:v>
      </x:c>
      <x:c r="I10" s="16" t="str">
        <x:f>IF(OR(B10="Passed",B10="Closed"),"No action",IF(OR(B10="Submitted",B10="Waitlisted",B10="Callback",B10="Booked"),IF(L10="","Track outcome",IF(L10&lt;=Overview!$B$4,"Follow up","Follow-up scheduled")),IF(G10="","Confirm deadline",IF(H10&lt;0,"Deadline passed",IF(H10=0,"Due today",IF(H10&lt;=3,"Due within 3 days","Open queue"))))))</x:f>
        <x:v>Track outcome</x:v>
      </x:c>
      <x:c r="J10" s="16" t="str">
        <x:v>Watch for self-tape instructions and casting reply</x:v>
      </x:c>
      <x:c r="K10" s="25" t="d">
        <x:v>2026-10-20T00:00:00.000Z</x:v>
      </x:c>
      <x:c r="L10" s="25"/>
      <x:c r="M10" s="24" t="str"/>
      <x:c r="N10" s="16" t="str">
        <x:v>Unpaid / volunteer</x:v>
      </x:c>
      <x:c r="O10" s="19"/>
      <x:c r="P10" s="16" t="str"/>
      <x:c r="Q10" s="16" t="str">
        <x:v>Central Burnaby</x:v>
      </x:c>
      <x:c r="R10" s="17" t="d">
        <x:v>2026-10-29T00:00:00.000Z</x:v>
      </x:c>
      <x:c r="S10" s="17" t="d">
        <x:v>2026-10-29T00:00:00.000Z</x:v>
      </x:c>
      <x:c r="T10" s="16" t="str"/>
      <x:c r="U10" s="16" t="str">
        <x:f>IF(R10="","Dates unknown",IF(R10&gt;=Overview!$B$5,"After departure",IF(S10="","End unknown",IF(S10&gt;=Overview!$B$5,"Overlaps departure","Before departure"))))</x:f>
        <x:v>Before departure</x:v>
      </x:c>
      <x:c r="V10" s="16" t="str">
        <x:v>Late 20s, open ethnicity; awkward, straightforward, dry humour</x:v>
      </x:c>
      <x:c r="W10" s="16" t="str">
        <x:v>UBCP/ACTRA and non-union</x:v>
      </x:c>
      <x:c r="X10" s="16" t="str">
        <x:v>Self-tape instructions if shortlisted</x:v>
      </x:c>
      <x:c r="Y10" s="16" t="str"/>
      <x:c r="Z10" s="16" t="str">
        <x:v>Headshot, résumé, demo reel if available</x:v>
      </x:c>
      <x:c r="AA10" s="16" t="str">
        <x:v>amistakeshortfilm@gmail.com</x:v>
      </x:c>
      <x:c r="AB10" s="16" t="str">
        <x:v>[Your Name] – [Character Name] Audition</x:v>
      </x:c>
      <x:c r="AC10" s="16" t="str">
        <x:v>https://www.facebook.com/groups/hollywoodnorthvancouverfilmindustry</x:v>
      </x:c>
      <x:c r="AD10" s="16" t="str">
        <x:v>Hollywood North — Michael Jung</x:v>
      </x:c>
      <x:c r="AE10" s="17" t="d">
        <x:v>2026-10-15T00:00:00.000Z</x:v>
      </x:c>
      <x:c r="AF10" s="16" t="str">
        <x:v>Full text reviewed</x:v>
      </x:c>
      <x:c r="AG10" s="16" t="str">
        <x:v>7-minute short; demo reel material, photos, IMDb credit and food offered</x:v>
      </x:c>
      <x:c r="AH10" s="16" t="str">
        <x:v>Exact cutoff and call time; direct post link not captured</x:v>
      </x:c>
    </x:row>
    <x:row r="11" ht="48" customHeight="1">
      <x:c r="A11" s="16" t="str">
        <x:v>MISTAKE-SARAH</x:v>
      </x:c>
      <x:c r="B11" s="24" t="str">
        <x:v>To do</x:v>
      </x:c>
      <x:c r="C11" s="24" t="str">
        <x:v>High</x:v>
      </x:c>
      <x:c r="D11" s="16" t="str">
        <x:v>Acting — film / TV</x:v>
      </x:c>
      <x:c r="E11" s="16" t="str">
        <x:v>A Mistake</x:v>
      </x:c>
      <x:c r="F11" s="16" t="str">
        <x:v>Sarah</x:v>
      </x:c>
      <x:c r="G11" s="17" t="d">
        <x:v>2026-10-20T00:00:00.000Z</x:v>
      </x:c>
      <x:c r="H11" s="18" t="n">
        <x:f>IF(G11="","",INT(G11)-INT(Overview!$B$4))</x:f>
        <x:v>-3</x:v>
      </x:c>
      <x:c r="I11" s="16" t="str">
        <x:f>IF(OR(B11="Passed",B11="Closed"),"No action",IF(OR(B11="Submitted",B11="Waitlisted",B11="Callback",B11="Booked"),IF(L11="","Track outcome",IF(L11&lt;=Overview!$B$4,"Follow up","Follow-up scheduled")),IF(G11="","Confirm deadline",IF(H11&lt;0,"Deadline passed",IF(H11=0,"Due today",IF(H11&lt;=3,"Due within 3 days","Open queue"))))))</x:f>
        <x:v>Deadline passed</x:v>
      </x:c>
      <x:c r="J11" s="16" t="str">
        <x:v>Email headshot, résumé and optional reel</x:v>
      </x:c>
      <x:c r="K11" s="25"/>
      <x:c r="L11" s="25"/>
      <x:c r="M11" s="24" t="str"/>
      <x:c r="N11" s="16" t="str">
        <x:v>Unpaid / volunteer</x:v>
      </x:c>
      <x:c r="O11" s="19"/>
      <x:c r="P11" s="16" t="str"/>
      <x:c r="Q11" s="16" t="str">
        <x:v>Central Burnaby</x:v>
      </x:c>
      <x:c r="R11" s="17" t="d">
        <x:v>2026-10-29T00:00:00.000Z</x:v>
      </x:c>
      <x:c r="S11" s="17" t="d">
        <x:v>2026-10-29T00:00:00.000Z</x:v>
      </x:c>
      <x:c r="T11" s="16" t="str"/>
      <x:c r="U11" s="16" t="str">
        <x:f>IF(R11="","Dates unknown",IF(R11&gt;=Overview!$B$5,"After departure",IF(S11="","End unknown",IF(S11&gt;=Overview!$B$5,"Overlaps departure","Before departure"))))</x:f>
        <x:v>Before departure</x:v>
      </x:c>
      <x:c r="V11" s="16" t="str">
        <x:v>Late 20s, open ethnicity; outgoing schoolteacher, warm and sociable</x:v>
      </x:c>
      <x:c r="W11" s="16" t="str">
        <x:v>UBCP/ACTRA and non-union</x:v>
      </x:c>
      <x:c r="X11" s="16" t="str">
        <x:v>Self-tape instructions if shortlisted</x:v>
      </x:c>
      <x:c r="Y11" s="16" t="str"/>
      <x:c r="Z11" s="16" t="str">
        <x:v>Headshot, résumé, demo reel if available</x:v>
      </x:c>
      <x:c r="AA11" s="16" t="str">
        <x:v>amistakeshortfilm@gmail.com</x:v>
      </x:c>
      <x:c r="AB11" s="16" t="str">
        <x:v>[Your Name] – [Character Name] Audition</x:v>
      </x:c>
      <x:c r="AC11" s="16" t="str">
        <x:v>https://www.facebook.com/groups/hollywoodnorthvancouverfilmindustry</x:v>
      </x:c>
      <x:c r="AD11" s="16" t="str">
        <x:v>Hollywood North — Michael Jung</x:v>
      </x:c>
      <x:c r="AE11" s="17" t="d">
        <x:v>2026-10-15T00:00:00.000Z</x:v>
      </x:c>
      <x:c r="AF11" s="16" t="str">
        <x:v>Full text reviewed</x:v>
      </x:c>
      <x:c r="AG11" s="16" t="str">
        <x:v>7-minute short; demo reel material, photos, IMDb credit and food offered</x:v>
      </x:c>
      <x:c r="AH11" s="16" t="str">
        <x:v>Exact cutoff and call time; direct post link not captured</x:v>
      </x:c>
    </x:row>
    <x:row r="12" ht="48" customHeight="1">
      <x:c r="A12" s="16" t="str">
        <x:v>VCC-VIDEO</x:v>
      </x:c>
      <x:c r="B12" s="24" t="str">
        <x:v>Research needed</x:v>
      </x:c>
      <x:c r="C12" s="24" t="str">
        <x:v>Review fit</x:v>
      </x:c>
      <x:c r="D12" s="16" t="str">
        <x:v>Videography / editing</x:v>
      </x:c>
      <x:c r="E12" s="16" t="str">
        <x:v>Vancouver Community College</x:v>
      </x:c>
      <x:c r="F12" s="16" t="str">
        <x:v>Video and Digital Content Specialist</x:v>
      </x:c>
      <x:c r="G12" s="17" t="d">
        <x:v>2026-10-20T00:00:00.000Z</x:v>
      </x:c>
      <x:c r="H12" s="18" t="n">
        <x:f>IF(G12="","",INT(G12)-INT(Overview!$B$4))</x:f>
        <x:v>-3</x:v>
      </x:c>
      <x:c r="I12" s="16" t="str">
        <x:f>IF(OR(B12="Passed",B12="Closed"),"No action",IF(OR(B12="Submitted",B12="Waitlisted",B12="Callback",B12="Booked"),IF(L12="","Track outcome",IF(L12&lt;=Overview!$B$4,"Follow up","Follow-up scheduled")),IF(G12="","Confirm deadline",IF(H12&lt;0,"Deadline passed",IF(H12=0,"Due today",IF(H12&lt;=3,"Due within 3 days","Open queue"))))))</x:f>
        <x:v>Deadline passed</x:v>
      </x:c>
      <x:c r="J12" s="16" t="str">
        <x:v>Verify official vacancy before applying</x:v>
      </x:c>
      <x:c r="K12" s="25"/>
      <x:c r="L12" s="25"/>
      <x:c r="M12" s="24" t="str"/>
      <x:c r="N12" s="16" t="str">
        <x:v>Paid</x:v>
      </x:c>
      <x:c r="O12" s="19" t="n">
        <x:v>34.27</x:v>
      </x:c>
      <x:c r="P12" s="16" t="str">
        <x:v>CAD/hour minimum; range 34.27–40.15</x:v>
      </x:c>
      <x:c r="Q12" s="16" t="str">
        <x:v>Vancouver Broadway</x:v>
      </x:c>
      <x:c r="R12" s="17"/>
      <x:c r="S12" s="17"/>
      <x:c r="T12" s="16" t="str">
        <x:v>Full-time 35 hours/week; closing 23:59 Pacific per earlier listing</x:v>
      </x:c>
      <x:c r="U12" s="16" t="str">
        <x:f>IF(R12="","Dates unknown",IF(R12&gt;=Overview!$B$5,"After departure",IF(S12="","End unknown",IF(S12&gt;=Overview!$B$5,"Overlaps departure","Before departure"))))</x:f>
        <x:v>Dates unknown</x:v>
      </x:c>
      <x:c r="V12" s="16" t="str">
        <x:v>Relevant diploma/experience; Class 5 licence and vehicle; Adobe</x:v>
      </x:c>
      <x:c r="W12" s="16" t="str">
        <x:v>Not stated</x:v>
      </x:c>
      <x:c r="X12" s="16" t="str">
        <x:v>Not stated</x:v>
      </x:c>
      <x:c r="Y12" s="16" t="str"/>
      <x:c r="Z12" s="16" t="str">
        <x:v>Not stated</x:v>
      </x:c>
      <x:c r="AA12" s="16" t="str">
        <x:v>Not yet captured</x:v>
      </x:c>
      <x:c r="AB12" s="16" t="str"/>
      <x:c r="AC12" s="16" t="str">
        <x:v>https://gjobs.neogov.ca/careers/vcc/jobs/121069/video-and-digital-content-specialist</x:v>
      </x:c>
      <x:c r="AD12" s="16" t="str">
        <x:v>Earlier job listing; current page unavailable</x:v>
      </x:c>
      <x:c r="AE12" s="17" t="d">
        <x:v>2026-10-15T00:00:00.000Z</x:v>
      </x:c>
      <x:c r="AF12" s="16" t="str">
        <x:v>Recheck required — source currently inaccessible</x:v>
      </x:c>
      <x:c r="AG12" s="16" t="str">
        <x:v>Ongoing full-time role may conflict with Dec 1 departure</x:v>
      </x:c>
      <x:c r="AH12" s="16" t="str">
        <x:v>Current availability and complete application requirements</x:v>
      </x:c>
    </x:row>
    <x:row r="13" ht="48" customHeight="1">
      <x:c r="A13" s="16" t="str">
        <x:v>BELOVED-CAST</x:v>
      </x:c>
      <x:c r="B13" s="24" t="str">
        <x:v>To do</x:v>
      </x:c>
      <x:c r="C13" s="24" t="str">
        <x:v>High</x:v>
      </x:c>
      <x:c r="D13" s="16" t="str">
        <x:v>Acting — film / TV</x:v>
      </x:c>
      <x:c r="E13" s="16" t="str">
        <x:v>Beloved</x:v>
      </x:c>
      <x:c r="F13" s="16" t="str">
        <x:v>Robbie — supporting male, character 20</x:v>
      </x:c>
      <x:c r="G13" s="17" t="d">
        <x:v>2026-10-25T00:00:00.000Z</x:v>
      </x:c>
      <x:c r="H13" s="18" t="n">
        <x:f>IF(G13="","",INT(G13)-INT(Overview!$B$4))</x:f>
        <x:v>2</x:v>
      </x:c>
      <x:c r="I13" s="16" t="str">
        <x:f>IF(OR(B13="Passed",B13="Closed"),"No action",IF(OR(B13="Submitted",B13="Waitlisted",B13="Callback",B13="Booked"),IF(L13="","Track outcome",IF(L13&lt;=Overview!$B$4,"Follow up","Follow-up scheduled")),IF(G13="","Confirm deadline",IF(H13&lt;0,"Deadline passed",IF(H13=0,"Due today",IF(H13&lt;=3,"Due within 3 days","Open queue"))))))</x:f>
        <x:v>Due within 3 days</x:v>
      </x:c>
      <x:c r="J13" s="16" t="str">
        <x:v>Prepared draft exists; review and send by Oct 25 if comfortable with intimacy and scooter requirement</x:v>
      </x:c>
      <x:c r="K13" s="25"/>
      <x:c r="L13" s="25"/>
      <x:c r="M13" s="24" t="str"/>
      <x:c r="N13" s="16" t="str">
        <x:v>Unpaid / volunteer</x:v>
      </x:c>
      <x:c r="O13" s="19"/>
      <x:c r="P13" s="16" t="str"/>
      <x:c r="Q13" s="16" t="str">
        <x:v>Greater Vancouver</x:v>
      </x:c>
      <x:c r="R13" s="17" t="d">
        <x:v>2026-11-19T00:00:00.000Z</x:v>
      </x:c>
      <x:c r="S13" s="17" t="d">
        <x:v>2026-11-26T00:00:00.000Z</x:v>
      </x:c>
      <x:c r="T13" s="16" t="str">
        <x:v>Tentative shoot window</x:v>
      </x:c>
      <x:c r="U13" s="16" t="str">
        <x:f>IF(R13="","Dates unknown",IF(R13&gt;=Overview!$B$5,"After departure",IF(S13="","End unknown",IF(S13&gt;=Overview!$B$5,"Overlaps departure","Before departure"))))</x:f>
        <x:v>Before departure</x:v>
      </x:c>
      <x:c r="V13" s="16" t="str">
        <x:v>Actor 19–25; open ethnicity; user fits. Requires on-camera kissing, sharing a bed with scene partner (intimacy coordinator promised), and scooter riding.</x:v>
      </x:c>
      <x:c r="W13" s="16" t="str">
        <x:v>Non-union</x:v>
      </x:c>
      <x:c r="X13" s="16" t="str">
        <x:v>In person at Emily Carr</x:v>
      </x:c>
      <x:c r="Y13" s="16" t="str">
        <x:v>Oct 29–30, times TBD</x:v>
      </x:c>
      <x:c r="Z13" s="16" t="str">
        <x:v>Résumé, headshot and requested character</x:v>
      </x:c>
      <x:c r="AA13" s="16" t="str">
        <x:v>dantetroyo1809@gmail.com</x:v>
      </x:c>
      <x:c r="AB13" s="16" t="str"/>
      <x:c r="AC13" s="16" t="str">
        <x:v>https://www.facebook.com/groups/233914560287649/permalink/2980577335621344/</x:v>
      </x:c>
      <x:c r="AD13" s="16" t="str">
        <x:v>BC Casting Call — Emma Grace, posted Sep 28</x:v>
      </x:c>
      <x:c r="AE13" s="17" t="n">
        <x:v>46316</x:v>
      </x:c>
      <x:c r="AF13" s="16" t="str">
        <x:v>Full post and four role images reviewed Oct 21</x:v>
      </x:c>
      <x:c r="AG13" s="16" t="str">
        <x:v>ECUAD thesis film; crafty and credit promised</x:v>
      </x:c>
      <x:c r="AH13" s="16" t="str">
        <x:v>Confirm comfort with intimacy and scooter; tentative Nov 19–26 shoot; deadline time unstated</x:v>
      </x:c>
    </x:row>
    <x:row r="14" ht="48" customHeight="1">
      <x:c r="A14" s="16" t="str">
        <x:v>INTERSTICE-BG</x:v>
      </x:c>
      <x:c r="B14" s="24" t="str">
        <x:v>To do</x:v>
      </x:c>
      <x:c r="C14" s="24" t="str">
        <x:v>High</x:v>
      </x:c>
      <x:c r="D14" s="16" t="str">
        <x:v>Background / stand-in</x:v>
      </x:c>
      <x:c r="E14" s="16" t="str">
        <x:v>INTERSTICE</x:v>
      </x:c>
      <x:c r="F14" s="16" t="str">
        <x:v>Background extras</x:v>
      </x:c>
      <x:c r="G14" s="17"/>
      <x:c r="H14" s="18" t="str">
        <x:f>IF(G14="","",INT(G14)-INT(Overview!$B$4))</x:f>
      </x:c>
      <x:c r="I14" s="16" t="str">
        <x:f>IF(OR(B14="Passed",B14="Closed"),"No action",IF(OR(B14="Submitted",B14="Waitlisted",B14="Callback",B14="Booked"),IF(L14="","Track outcome",IF(L14&lt;=Overview!$B$4,"Follow up","Follow-up scheduled")),IF(G14="","Confirm deadline",IF(H14&lt;0,"Deadline passed",IF(H14=0,"Due today",IF(H14&lt;=3,"Due within 3 days","Open queue"))))))</x:f>
        <x:v>Confirm deadline</x:v>
      </x:c>
      <x:c r="J14" s="16" t="str">
        <x:v>Email headshot and date availability</x:v>
      </x:c>
      <x:c r="K14" s="25"/>
      <x:c r="L14" s="25"/>
      <x:c r="M14" s="24" t="str"/>
      <x:c r="N14" s="16" t="str">
        <x:v>Paid</x:v>
      </x:c>
      <x:c r="O14" s="19" t="n">
        <x:v>18.25</x:v>
      </x:c>
      <x:c r="P14" s="16" t="str">
        <x:v>Per hour; currency not explicitly stated</x:v>
      </x:c>
      <x:c r="Q14" s="16" t="str">
        <x:v>Vancouver / Fraser Valley</x:v>
      </x:c>
      <x:c r="R14" s="17" t="d">
        <x:v>2026-10-26T00:00:00.000Z</x:v>
      </x:c>
      <x:c r="S14" s="17" t="d">
        <x:v>2026-11-05T00:00:00.000Z</x:v>
      </x:c>
      <x:c r="T14" s="16" t="str">
        <x:v>Oct 26, Nov 4, Nov 5, 2026; confirm which days required</x:v>
      </x:c>
      <x:c r="U14" s="16" t="str">
        <x:f>IF(R14="","Dates unknown",IF(R14&gt;=Overview!$B$5,"After departure",IF(S14="","End unknown",IF(S14&gt;=Overview!$B$5,"Overlaps departure","Before departure"))))</x:f>
        <x:v>Before departure</x:v>
      </x:c>
      <x:c r="V14" s="16" t="str">
        <x:v>Ages 25–55</x:v>
      </x:c>
      <x:c r="W14" s="16" t="str">
        <x:v>Non-union</x:v>
      </x:c>
      <x:c r="X14" s="16" t="str">
        <x:v>Not stated</x:v>
      </x:c>
      <x:c r="Y14" s="16" t="str"/>
      <x:c r="Z14" s="16" t="str">
        <x:v>Headshot and availability for listed dates</x:v>
      </x:c>
      <x:c r="AA14" s="16" t="str">
        <x:v>Auditions@EvoloProductions.com</x:v>
      </x:c>
      <x:c r="AB14" s="16" t="str"/>
      <x:c r="AC14" s="16" t="str">
        <x:v>https://www.facebook.com/groups/233914560287649/posts/2997711400574604/</x:v>
      </x:c>
      <x:c r="AD14" s="16" t="str">
        <x:v>BC Casting Call — Kate Obbagy / Evolo Productions</x:v>
      </x:c>
      <x:c r="AE14" s="17" t="d">
        <x:v>2026-10-15T00:00:00.000Z</x:v>
      </x:c>
      <x:c r="AF14" s="16" t="str">
        <x:v>Full text reviewed</x:v>
      </x:c>
      <x:c r="AG14" s="16" t="str">
        <x:v>Paid feature-film set experience; no reel/credit promise</x:v>
      </x:c>
      <x:c r="AH14" s="16" t="str">
        <x:v>Application deadline, exact locations, hours and audition format</x:v>
      </x:c>
    </x:row>
    <x:row r="15" ht="48" customHeight="1">
      <x:c r="A15" s="16" t="str">
        <x:v>SPK-ROSTER</x:v>
      </x:c>
      <x:c r="B15" s="24" t="str">
        <x:v>To do</x:v>
      </x:c>
      <x:c r="C15" s="24" t="str">
        <x:v>High</x:v>
      </x:c>
      <x:c r="D15" s="16" t="str">
        <x:v>Commercial / comedy</x:v>
      </x:c>
      <x:c r="E15" s="16" t="str">
        <x:v>Smashed Potato Kids</x:v>
      </x:c>
      <x:c r="F15" s="16" t="str">
        <x:v>Paid short-form comedy roster</x:v>
      </x:c>
      <x:c r="G15" s="17"/>
      <x:c r="H15" s="18" t="str">
        <x:f>IF(G15="","",INT(G15)-INT(Overview!$B$4))</x:f>
      </x:c>
      <x:c r="I15" s="16" t="str">
        <x:f>IF(OR(B15="Passed",B15="Closed"),"No action",IF(OR(B15="Submitted",B15="Waitlisted",B15="Callback",B15="Booked"),IF(L15="","Track outcome",IF(L15&lt;=Overview!$B$4,"Follow up","Follow-up scheduled")),IF(G15="","Confirm deadline",IF(H15&lt;0,"Deadline passed",IF(H15=0,"Due today",IF(H15&lt;=3,"Due within 3 days","Open queue"))))))</x:f>
        <x:v>Confirm deadline</x:v>
      </x:c>
      <x:c r="J15" s="16" t="str">
        <x:v>Review form and apply to talent roster</x:v>
      </x:c>
      <x:c r="K15" s="25"/>
      <x:c r="L15" s="25"/>
      <x:c r="M15" s="24" t="str"/>
      <x:c r="N15" s="16" t="str">
        <x:v>Paid</x:v>
      </x:c>
      <x:c r="O15" s="19"/>
      <x:c r="P15" s="16" t="str"/>
      <x:c r="Q15" s="16" t="str">
        <x:v>Greater Vancouver</x:v>
      </x:c>
      <x:c r="R15" s="17"/>
      <x:c r="S15" s="17"/>
      <x:c r="T15" s="16" t="str"/>
      <x:c r="U15" s="16" t="str">
        <x:f>IF(R15="","Dates unknown",IF(R15&gt;=Overview!$B$5,"After departure",IF(S15="","End unknown",IF(S15&gt;=Overview!$B$5,"Overlaps departure","Before departure"))))</x:f>
        <x:v>Dates unknown</x:v>
      </x:c>
      <x:c r="V15" s="16" t="str">
        <x:v>Mid-20s currently sought; everyone encouraged to apply</x:v>
      </x:c>
      <x:c r="W15" s="16" t="str">
        <x:v>Non-union</x:v>
      </x:c>
      <x:c r="X15" s="16" t="str">
        <x:v>Not stated</x:v>
      </x:c>
      <x:c r="Y15" s="16" t="str"/>
      <x:c r="Z15" s="16" t="str">
        <x:v>Complete form; exact fields not yet reviewed</x:v>
      </x:c>
      <x:c r="AA15" s="16" t="str">
        <x:v>SPK application form</x:v>
      </x:c>
      <x:c r="AB15" s="16" t="str"/>
      <x:c r="AC15" s="16" t="str">
        <x:v>https://docs.google.com/forms/d/e/1FAIpQLSeJZ6K7Mg0E1mCmlvZ-bGNWX0LfTknifczE3mAIsxcOj8cpPA/viewform?usp=header</x:v>
      </x:c>
      <x:c r="AD15" s="16" t="str">
        <x:v>Hollywood North — SPK</x:v>
      </x:c>
      <x:c r="AE15" s="17" t="d">
        <x:v>2026-10-15T00:00:00.000Z</x:v>
      </x:c>
      <x:c r="AF15" s="16" t="str">
        <x:v>Full text reviewed</x:v>
      </x:c>
      <x:c r="AG15" s="16" t="str">
        <x:v>Paid comedy/client content; roster is not a confirmed booking</x:v>
      </x:c>
      <x:c r="AH15" s="16" t="str">
        <x:v>Rate, specific bookings, shoot dates, location details; form not inspected</x:v>
      </x:c>
    </x:row>
    <x:row r="16" ht="48" customHeight="1">
      <x:c r="A16" s="16" t="str">
        <x:v>MATT-MUSIC-BG</x:v>
      </x:c>
      <x:c r="B16" s="24" t="str">
        <x:v>To do</x:v>
      </x:c>
      <x:c r="C16" s="24" t="str">
        <x:v>Review fit</x:v>
      </x:c>
      <x:c r="D16" s="16" t="str">
        <x:v>Background / stand-in</x:v>
      </x:c>
      <x:c r="E16" s="16" t="str">
        <x:v>Matt Smiley music video</x:v>
      </x:c>
      <x:c r="F16" s="16" t="str">
        <x:v>10–20 bar-scene extras</x:v>
      </x:c>
      <x:c r="G16" s="17"/>
      <x:c r="H16" s="18" t="str">
        <x:f>IF(G16="","",INT(G16)-INT(Overview!$B$4))</x:f>
      </x:c>
      <x:c r="I16" s="16" t="str">
        <x:f>IF(OR(B16="Passed",B16="Closed"),"No action",IF(OR(B16="Submitted",B16="Waitlisted",B16="Callback",B16="Booked"),IF(L16="","Track outcome",IF(L16&lt;=Overview!$B$4,"Follow up","Follow-up scheduled")),IF(G16="","Confirm deadline",IF(H16&lt;0,"Deadline passed",IF(H16=0,"Due today",IF(H16&lt;=3,"Due within 3 days","Open queue"))))))</x:f>
        <x:v>Confirm deadline</x:v>
      </x:c>
      <x:c r="J16" s="16" t="str">
        <x:v>Confirm date/time, compensation and availability with poster</x:v>
      </x:c>
      <x:c r="K16" s="25"/>
      <x:c r="L16" s="25"/>
      <x:c r="M16" s="24" t="str"/>
      <x:c r="N16" s="16" t="str">
        <x:v>Unknown</x:v>
      </x:c>
      <x:c r="O16" s="19"/>
      <x:c r="P16" s="16" t="str"/>
      <x:c r="Q16" s="16" t="str">
        <x:v>Langley Golf Centre</x:v>
      </x:c>
      <x:c r="R16" s="17"/>
      <x:c r="S16" s="17"/>
      <x:c r="T16" s="16" t="str">
        <x:v>Oct 24, 9–12; AM/PM and year not stated in text</x:v>
      </x:c>
      <x:c r="U16" s="16" t="str">
        <x:f>IF(R16="","Dates unknown",IF(R16&gt;=Overview!$B$5,"After departure",IF(S16="","End unknown",IF(S16&gt;=Overview!$B$5,"Overlaps departure","Before departure"))))</x:f>
        <x:v>Dates unknown</x:v>
      </x:c>
      <x:c r="V16" s="16" t="str">
        <x:v>Not stated</x:v>
      </x:c>
      <x:c r="W16" s="16" t="str">
        <x:v>Not stated</x:v>
      </x:c>
      <x:c r="X16" s="16" t="str">
        <x:v>Not stated</x:v>
      </x:c>
      <x:c r="Y16" s="16" t="str"/>
      <x:c r="Z16" s="16" t="str">
        <x:v>Expression of interest; other materials unspecified</x:v>
      </x:c>
      <x:c r="AA16" s="16" t="str">
        <x:v>Matt Smiley via source post (user sends message)</x:v>
      </x:c>
      <x:c r="AB16" s="16" t="str"/>
      <x:c r="AC16" s="16" t="str">
        <x:v>https://www.facebook.com/groups/233914560287649/</x:v>
      </x:c>
      <x:c r="AD16" s="16" t="str">
        <x:v>BC Casting Call — Matt Smiley</x:v>
      </x:c>
      <x:c r="AE16" s="17" t="d">
        <x:v>2026-10-15T00:00:00.000Z</x:v>
      </x:c>
      <x:c r="AF16" s="16" t="str">
        <x:v>Text verified; date details need confirmation</x:v>
      </x:c>
      <x:c r="AG16" s="16" t="str">
        <x:v>Music video background experience; footage/credit not promised</x:v>
      </x:c>
      <x:c r="AH16" s="16" t="str">
        <x:v>Pay, year, AM/PM, deadline, eligibility, direct post link</x:v>
      </x:c>
    </x:row>
    <x:row r="17" ht="48" customHeight="1">
      <x:c r="A17" s="16" t="str">
        <x:v>MISTAKE-DOP</x:v>
      </x:c>
      <x:c r="B17" s="24" t="str">
        <x:v>To do</x:v>
      </x:c>
      <x:c r="C17" s="24" t="str">
        <x:v>High</x:v>
      </x:c>
      <x:c r="D17" s="16" t="str">
        <x:v>DOP / camera / crew</x:v>
      </x:c>
      <x:c r="E17" s="16" t="str">
        <x:v>A Mistake</x:v>
      </x:c>
      <x:c r="F17" s="16" t="str">
        <x:v>Director of Photography</x:v>
      </x:c>
      <x:c r="G17" s="17"/>
      <x:c r="H17" s="18" t="str">
        <x:f>IF(G17="","",INT(G17)-INT(Overview!$B$4))</x:f>
      </x:c>
      <x:c r="I17" s="16" t="str">
        <x:f>IF(OR(B17="Passed",B17="Closed"),"No action",IF(OR(B17="Submitted",B17="Waitlisted",B17="Callback",B17="Booked"),IF(L17="","Track outcome",IF(L17&lt;=Overview!$B$4,"Follow up","Follow-up scheduled")),IF(G17="","Confirm deadline",IF(H17&lt;0,"Deadline passed",IF(H17=0,"Due today",IF(H17&lt;=3,"Due within 3 days","Open queue"))))))</x:f>
        <x:v>Confirm deadline</x:v>
      </x:c>
      <x:c r="J17" s="16" t="str">
        <x:v>Send work samples and discuss camera/lens needs</x:v>
      </x:c>
      <x:c r="K17" s="25"/>
      <x:c r="L17" s="25"/>
      <x:c r="M17" s="24" t="str"/>
      <x:c r="N17" s="16" t="str">
        <x:v>Unpaid / volunteer</x:v>
      </x:c>
      <x:c r="O17" s="19"/>
      <x:c r="P17" s="16" t="str"/>
      <x:c r="Q17" s="16" t="str">
        <x:v>Deer Lake, Burnaby</x:v>
      </x:c>
      <x:c r="R17" s="17" t="d">
        <x:v>2026-10-29T00:00:00.000Z</x:v>
      </x:c>
      <x:c r="S17" s="17" t="d">
        <x:v>2026-10-29T00:00:00.000Z</x:v>
      </x:c>
      <x:c r="T17" s="16" t="str"/>
      <x:c r="U17" s="16" t="str">
        <x:f>IF(R17="","Dates unknown",IF(R17&gt;=Overview!$B$5,"After departure",IF(S17="","End unknown",IF(S17&gt;=Overview!$B$5,"Overlaps departure","Before departure"))))</x:f>
        <x:v>Before departure</x:v>
      </x:c>
      <x:c r="V17" s="16" t="str">
        <x:v>Not stated</x:v>
      </x:c>
      <x:c r="W17" s="16" t="str">
        <x:v>Not stated</x:v>
      </x:c>
      <x:c r="X17" s="16" t="str">
        <x:v>Not stated</x:v>
      </x:c>
      <x:c r="Y17" s="16" t="str"/>
      <x:c r="Z17" s="16" t="str">
        <x:v>Introduction and work link</x:v>
      </x:c>
      <x:c r="AA17" s="16" t="str">
        <x:v>amistakeshortfilm@gmail.com</x:v>
      </x:c>
      <x:c r="AB17" s="16" t="str"/>
      <x:c r="AC17" s="16" t="str">
        <x:v>https://www.facebook.com/groups/23366837344/</x:v>
      </x:c>
      <x:c r="AD17" s="16" t="str">
        <x:v>Vancouver Independent Film Crew — Michael Jung</x:v>
      </x:c>
      <x:c r="AE17" s="17" t="d">
        <x:v>2026-10-15T00:00:00.000Z</x:v>
      </x:c>
      <x:c r="AF17" s="16" t="str">
        <x:v>Full text reviewed</x:v>
      </x:c>
      <x:c r="AG17" s="16" t="str">
        <x:v>Outdoor naturalistic 7-minute short. Own camera preferred; equipment negotiable. FX30 could be relevant.</x:v>
      </x:c>
      <x:c r="AH17" s="16" t="str">
        <x:v>DOP deadline, hours, specific lenses, credit/reel terms</x:v>
      </x:c>
    </x:row>
    <x:row r="18" ht="48" customHeight="1">
      <x:c r="A18" s="16" t="str">
        <x:v>DOGS-VICTOR</x:v>
      </x:c>
      <x:c r="B18" s="24" t="str">
        <x:v>To do</x:v>
      </x:c>
      <x:c r="C18" s="24" t="str">
        <x:v>Later / travel conflict</x:v>
      </x:c>
      <x:c r="D18" s="16" t="str">
        <x:v>Theatre / live performance</x:v>
      </x:c>
      <x:c r="E18" s="16" t="str">
        <x:v>Four Dogs and a Bone</x:v>
      </x:c>
      <x:c r="F18" s="16" t="str">
        <x:v>Victor</x:v>
      </x:c>
      <x:c r="G18" s="17"/>
      <x:c r="H18" s="18" t="str">
        <x:f>IF(G18="","",INT(G18)-INT(Overview!$B$4))</x:f>
      </x:c>
      <x:c r="I18" s="16" t="str">
        <x:f>IF(OR(B18="Passed",B18="Closed"),"No action",IF(OR(B18="Submitted",B18="Waitlisted",B18="Callback",B18="Booked"),IF(L18="","Track outcome",IF(L18&lt;=Overview!$B$4,"Follow up","Follow-up scheduled")),IF(G18="","Confirm deadline",IF(H18&lt;0,"Deadline passed",IF(H18=0,"Due today",IF(H18&lt;=3,"Due within 3 days","Open queue"))))))</x:f>
        <x:v>Confirm deadline</x:v>
      </x:c>
      <x:c r="J18" s="16" t="str">
        <x:v>Confirm post-trip availability before audition request</x:v>
      </x:c>
      <x:c r="K18" s="25"/>
      <x:c r="L18" s="25"/>
      <x:c r="M18" s="24" t="str"/>
      <x:c r="N18" s="16" t="str">
        <x:v>Honorarium</x:v>
      </x:c>
      <x:c r="O18" s="19"/>
      <x:c r="P18" s="16" t="str"/>
      <x:c r="Q18" s="16" t="str">
        <x:v>White Rock</x:v>
      </x:c>
      <x:c r="R18" s="17" t="d">
        <x:v>2027-02-04T00:00:00.000Z</x:v>
      </x:c>
      <x:c r="S18" s="17" t="d">
        <x:v>2027-02-07T00:00:00.000Z</x:v>
      </x:c>
      <x:c r="T18" s="16" t="str"/>
      <x:c r="U18" s="16" t="str">
        <x:f>IF(R18="","Dates unknown",IF(R18&gt;=Overview!$B$5,"After departure",IF(S18="","End unknown",IF(S18&gt;=Overview!$B$5,"Overlaps departure","Before departure"))))</x:f>
        <x:v>After departure</x:v>
      </x:c>
      <x:c r="V18" s="16" t="str">
        <x:v>Male late 20s–mid 30s</x:v>
      </x:c>
      <x:c r="W18" s="16" t="str">
        <x:v>Not stated</x:v>
      </x:c>
      <x:c r="X18" s="16" t="str">
        <x:v>In person; 2–3 minute comedic monologue</x:v>
      </x:c>
      <x:c r="Y18" s="16" t="str">
        <x:v>Nov 12, 6–9pm; Peninsula Studio Theatre, 14600 North Bluff Rd</x:v>
      </x:c>
      <x:c r="Z18" s="16" t="str">
        <x:v>Headshot and résumé; prepare comedic monologue; sides/time if selected</x:v>
      </x:c>
      <x:c r="AA18" s="16" t="str">
        <x:v>janet@peninsulaproductions.org — Janet Ellis</x:v>
      </x:c>
      <x:c r="AB18" s="16" t="str"/>
      <x:c r="AC18" s="16" t="str">
        <x:v>https://www.facebook.com/groups/233914560287649/</x:v>
      </x:c>
      <x:c r="AD18" s="16" t="str">
        <x:v>BC Casting Call — Michele Partridge / Peninsula Productions</x:v>
      </x:c>
      <x:c r="AE18" s="17" t="d">
        <x:v>2026-10-15T00:00:00.000Z</x:v>
      </x:c>
      <x:c r="AF18" s="16" t="str">
        <x:v>Full text reviewed</x:v>
      </x:c>
      <x:c r="AG18" s="16" t="str">
        <x:v>Staged reading performance; rehearsals TBD</x:v>
      </x:c>
      <x:c r="AH18" s="16" t="str">
        <x:v>Submission deadline, honorarium amount, rehearsal schedule</x:v>
      </x:c>
    </x:row>
    <x:row r="19" ht="48" customHeight="1">
      <x:c r="A19" s="16" t="str">
        <x:v>DOGS-BRENDA</x:v>
      </x:c>
      <x:c r="B19" s="24" t="str">
        <x:v>To do</x:v>
      </x:c>
      <x:c r="C19" s="24" t="str">
        <x:v>Later / travel conflict</x:v>
      </x:c>
      <x:c r="D19" s="16" t="str">
        <x:v>Theatre / live performance</x:v>
      </x:c>
      <x:c r="E19" s="16" t="str">
        <x:v>Four Dogs and a Bone</x:v>
      </x:c>
      <x:c r="F19" s="16" t="str">
        <x:v>Brenda</x:v>
      </x:c>
      <x:c r="G19" s="17"/>
      <x:c r="H19" s="18" t="str">
        <x:f>IF(G19="","",INT(G19)-INT(Overview!$B$4))</x:f>
      </x:c>
      <x:c r="I19" s="16" t="str">
        <x:f>IF(OR(B19="Passed",B19="Closed"),"No action",IF(OR(B19="Submitted",B19="Waitlisted",B19="Callback",B19="Booked"),IF(L19="","Track outcome",IF(L19&lt;=Overview!$B$4,"Follow up","Follow-up scheduled")),IF(G19="","Confirm deadline",IF(H19&lt;0,"Deadline passed",IF(H19=0,"Due today",IF(H19&lt;=3,"Due within 3 days","Open queue"))))))</x:f>
        <x:v>Confirm deadline</x:v>
      </x:c>
      <x:c r="J19" s="16" t="str">
        <x:v>Confirm post-trip availability before audition request</x:v>
      </x:c>
      <x:c r="K19" s="25"/>
      <x:c r="L19" s="25"/>
      <x:c r="M19" s="24" t="str"/>
      <x:c r="N19" s="16" t="str">
        <x:v>Honorarium</x:v>
      </x:c>
      <x:c r="O19" s="19"/>
      <x:c r="P19" s="16" t="str"/>
      <x:c r="Q19" s="16" t="str">
        <x:v>White Rock</x:v>
      </x:c>
      <x:c r="R19" s="17" t="d">
        <x:v>2027-02-04T00:00:00.000Z</x:v>
      </x:c>
      <x:c r="S19" s="17" t="d">
        <x:v>2027-02-07T00:00:00.000Z</x:v>
      </x:c>
      <x:c r="T19" s="16" t="str"/>
      <x:c r="U19" s="16" t="str">
        <x:f>IF(R19="","Dates unknown",IF(R19&gt;=Overview!$B$5,"After departure",IF(S19="","End unknown",IF(S19&gt;=Overview!$B$5,"Overlaps departure","Before departure"))))</x:f>
        <x:v>After departure</x:v>
      </x:c>
      <x:c r="V19" s="16" t="str">
        <x:v>Female mid-20s–early 30s</x:v>
      </x:c>
      <x:c r="W19" s="16" t="str">
        <x:v>Not stated</x:v>
      </x:c>
      <x:c r="X19" s="16" t="str">
        <x:v>In person; 2–3 minute comedic monologue</x:v>
      </x:c>
      <x:c r="Y19" s="16" t="str">
        <x:v>Nov 12, 6–9pm; Peninsula Studio Theatre, 14600 North Bluff Rd</x:v>
      </x:c>
      <x:c r="Z19" s="16" t="str">
        <x:v>Headshot and résumé; prepare comedic monologue; sides/time if selected</x:v>
      </x:c>
      <x:c r="AA19" s="16" t="str">
        <x:v>janet@peninsulaproductions.org — Janet Ellis</x:v>
      </x:c>
      <x:c r="AB19" s="16" t="str"/>
      <x:c r="AC19" s="16" t="str">
        <x:v>https://www.facebook.com/groups/233914560287649/</x:v>
      </x:c>
      <x:c r="AD19" s="16" t="str">
        <x:v>BC Casting Call — Michele Partridge / Peninsula Productions</x:v>
      </x:c>
      <x:c r="AE19" s="17" t="d">
        <x:v>2026-10-15T00:00:00.000Z</x:v>
      </x:c>
      <x:c r="AF19" s="16" t="str">
        <x:v>Full text reviewed</x:v>
      </x:c>
      <x:c r="AG19" s="16" t="str">
        <x:v>Staged reading performance; rehearsals TBD</x:v>
      </x:c>
      <x:c r="AH19" s="16" t="str">
        <x:v>Submission deadline, honorarium amount, rehearsal schedule</x:v>
      </x:c>
    </x:row>
    <x:row r="20" ht="48" customHeight="1">
      <x:c r="A20" s="16" t="str">
        <x:v>SPIDER-PARTY</x:v>
      </x:c>
      <x:c r="B20" s="24" t="str">
        <x:v>To do</x:v>
      </x:c>
      <x:c r="C20" s="24" t="str">
        <x:v>Review fit</x:v>
      </x:c>
      <x:c r="D20" s="16" t="str">
        <x:v>Theatre / live performance</x:v>
      </x:c>
      <x:c r="E20" s="16" t="str">
        <x:v>Birthday appearance</x:v>
      </x:c>
      <x:c r="F20" s="16" t="str">
        <x:v>Spider-Man performer</x:v>
      </x:c>
      <x:c r="G20" s="17"/>
      <x:c r="H20" s="18" t="str">
        <x:f>IF(G20="","",INT(G20)-INT(Overview!$B$4))</x:f>
      </x:c>
      <x:c r="I20" s="16" t="str">
        <x:f>IF(OR(B20="Passed",B20="Closed"),"No action",IF(OR(B20="Submitted",B20="Waitlisted",B20="Callback",B20="Booked"),IF(L20="","Track outcome",IF(L20&lt;=Overview!$B$4,"Follow up","Follow-up scheduled")),IF(G20="","Confirm deadline",IF(H20&lt;0,"Deadline passed",IF(H20=0,"Due today",IF(H20&lt;=3,"Due within 3 days","Open queue"))))))</x:f>
        <x:v>Confirm deadline</x:v>
      </x:c>
      <x:c r="J20" s="16" t="str">
        <x:v>Confirm booking still open and safe physical-performance expectations</x:v>
      </x:c>
      <x:c r="K20" s="25"/>
      <x:c r="L20" s="25"/>
      <x:c r="M20" s="24" t="str"/>
      <x:c r="N20" s="16" t="str">
        <x:v>Paid</x:v>
      </x:c>
      <x:c r="O20" s="19" t="n">
        <x:v>100</x:v>
      </x:c>
      <x:c r="P20" s="16" t="str">
        <x:v>30 minutes + dinner; currency not specified</x:v>
      </x:c>
      <x:c r="Q20" s="16" t="str">
        <x:v>New Westminster</x:v>
      </x:c>
      <x:c r="R20" s="17"/>
      <x:c r="S20" s="17"/>
      <x:c r="T20" s="16" t="str">
        <x:v>Oct 17 around 6pm; year not explicit in captured text</x:v>
      </x:c>
      <x:c r="U20" s="16" t="str">
        <x:f>IF(R20="","Dates unknown",IF(R20&gt;=Overview!$B$5,"After departure",IF(S20="","End unknown",IF(S20&gt;=Overview!$B$5,"Overlaps departure","Before departure"))))</x:f>
        <x:v>Dates unknown</x:v>
      </x:c>
      <x:c r="V20" s="16" t="str">
        <x:v>In-character improvisation; Spider-Man resemblance; jump/backflip preferred</x:v>
      </x:c>
      <x:c r="W20" s="16" t="str">
        <x:v>Not stated</x:v>
      </x:c>
      <x:c r="X20" s="16" t="str">
        <x:v>Not stated</x:v>
      </x:c>
      <x:c r="Y20" s="16" t="str"/>
      <x:c r="Z20" s="16" t="str">
        <x:v>Not stated</x:v>
      </x:c>
      <x:c r="AA20" s="16" t="str">
        <x:v>Liz Annie via source post (user sends message)</x:v>
      </x:c>
      <x:c r="AB20" s="16" t="str"/>
      <x:c r="AC20" s="16" t="str">
        <x:v>https://www.facebook.com/groups/272268773737408</x:v>
      </x:c>
      <x:c r="AD20" s="16" t="str">
        <x:v>Paid Only 10K — Liz Annie</x:v>
      </x:c>
      <x:c r="AE20" s="17" t="d">
        <x:v>2026-10-15T00:00:00.000Z</x:v>
      </x:c>
      <x:c r="AF20" s="16" t="str">
        <x:v>Previously read; availability needs reconfirmation</x:v>
      </x:c>
      <x:c r="AG20" s="16" t="str">
        <x:v>Live improv gig; costume rental handled by poster</x:v>
      </x:c>
      <x:c r="AH20" s="16" t="str">
        <x:v>Year, direct post URL, exact required skills, application deadline</x:v>
      </x:c>
    </x:row>
    <x:row r="21" ht="48" customHeight="1">
      <x:c r="A21" s="16" t="str">
        <x:v>PATIENT-60</x:v>
      </x:c>
      <x:c r="B21" s="24" t="str">
        <x:v>To do</x:v>
      </x:c>
      <x:c r="C21" s="24" t="str">
        <x:v>Review fit</x:v>
      </x:c>
      <x:c r="D21" s="16" t="str">
        <x:v>Theatre / live performance</x:v>
      </x:c>
      <x:c r="E21" s="16" t="str">
        <x:v>Standardized patient contract</x:v>
      </x:c>
      <x:c r="F21" s="16" t="str">
        <x:v>Man who can play 60</x:v>
      </x:c>
      <x:c r="G21" s="17"/>
      <x:c r="H21" s="18" t="str">
        <x:f>IF(G21="","",INT(G21)-INT(Overview!$B$4))</x:f>
      </x:c>
      <x:c r="I21" s="16" t="str">
        <x:f>IF(OR(B21="Passed",B21="Closed"),"No action",IF(OR(B21="Submitted",B21="Waitlisted",B21="Callback",B21="Booked"),IF(L21="","Track outcome",IF(L21&lt;=Overview!$B$4,"Follow up","Follow-up scheduled")),IF(G21="","Confirm deadline",IF(H21&lt;0,"Deadline passed",IF(H21=0,"Due today",IF(H21&lt;=3,"Due within 3 days","Open queue"))))))</x:f>
        <x:v>Confirm deadline</x:v>
      </x:c>
      <x:c r="J21" s="16" t="str">
        <x:v>Check eligibility and reconfirm date before booking</x:v>
      </x:c>
      <x:c r="K21" s="25"/>
      <x:c r="L21" s="25"/>
      <x:c r="M21" s="24" t="str"/>
      <x:c r="N21" s="16" t="str">
        <x:v>Paid</x:v>
      </x:c>
      <x:c r="O21" s="19"/>
      <x:c r="P21" s="16" t="str"/>
      <x:c r="Q21" s="16" t="str">
        <x:v>Vancouver</x:v>
      </x:c>
      <x:c r="R21" s="17"/>
      <x:c r="S21" s="17"/>
      <x:c r="T21" s="16" t="str">
        <x:v>Oct 18, approx 7:30am–5pm + 1 paid Zoom training hour; year not explicit</x:v>
      </x:c>
      <x:c r="U21" s="16" t="str">
        <x:f>IF(R21="","Dates unknown",IF(R21&gt;=Overview!$B$5,"After departure",IF(S21="","End unknown",IF(S21&gt;=Overview!$B$5,"Overlaps departure","Before departure"))))</x:f>
        <x:v>Dates unknown</x:v>
      </x:c>
      <x:c r="V21" s="16" t="str">
        <x:v>Male, can play 60; standardized patient experience helpful not required</x:v>
      </x:c>
      <x:c r="W21" s="16" t="str">
        <x:v>Not stated</x:v>
      </x:c>
      <x:c r="X21" s="16" t="str">
        <x:v>Not stated</x:v>
      </x:c>
      <x:c r="Y21" s="16" t="str"/>
      <x:c r="Z21" s="16" t="str">
        <x:v>Not stated</x:v>
      </x:c>
      <x:c r="AA21" s="16" t="str">
        <x:v>Book interview via Calendly</x:v>
      </x:c>
      <x:c r="AB21" s="16" t="str"/>
      <x:c r="AC21" s="16" t="str">
        <x:v>https://calendly.com/standardizedpatient-info/15min</x:v>
      </x:c>
      <x:c r="AD21" s="16" t="str">
        <x:v>Paid Only 2.5K — Dawn Kagan-Fleming</x:v>
      </x:c>
      <x:c r="AE21" s="17" t="d">
        <x:v>2026-10-15T00:00:00.000Z</x:v>
      </x:c>
      <x:c r="AF21" s="16" t="str">
        <x:v>Previously read; date needs confirmation</x:v>
      </x:c>
      <x:c r="AG21" s="16" t="str">
        <x:v>Applied performance / simulation experience</x:v>
      </x:c>
      <x:c r="AH21" s="16" t="str">
        <x:v>Rate, year, deadline</x:v>
      </x:c>
    </x:row>
    <x:row r="22" ht="48" customHeight="1">
      <x:c r="A22" s="16" t="str">
        <x:v>NATURE-COLLAB</x:v>
      </x:c>
      <x:c r="B22" s="24" t="str">
        <x:v>Research needed</x:v>
      </x:c>
      <x:c r="C22" s="24" t="str">
        <x:v>Review fit</x:v>
      </x:c>
      <x:c r="D22" s="16" t="str">
        <x:v>DOP / camera / crew</x:v>
      </x:c>
      <x:c r="E22" s="16" t="str">
        <x:v>BC wildlife webseries</x:v>
      </x:c>
      <x:c r="F22" s="16" t="str">
        <x:v>Natural-history filmmaking collaborators</x:v>
      </x:c>
      <x:c r="G22" s="17"/>
      <x:c r="H22" s="18" t="str">
        <x:f>IF(G22="","",INT(G22)-INT(Overview!$B$4))</x:f>
      </x:c>
      <x:c r="I22" s="16" t="str">
        <x:f>IF(OR(B22="Passed",B22="Closed"),"No action",IF(OR(B22="Submitted",B22="Waitlisted",B22="Callback",B22="Booked"),IF(L22="","Track outcome",IF(L22&lt;=Overview!$B$4,"Follow up","Follow-up scheduled")),IF(G22="","Confirm deadline",IF(H22&lt;0,"Deadline passed",IF(H22=0,"Due today",IF(H22&lt;=3,"Due within 3 days","Open queue"))))))</x:f>
        <x:v>Confirm deadline</x:v>
      </x:c>
      <x:c r="J22" s="16" t="str">
        <x:v>Read full post and verify funded roles</x:v>
      </x:c>
      <x:c r="K22" s="25"/>
      <x:c r="L22" s="25"/>
      <x:c r="M22" s="24" t="str"/>
      <x:c r="N22" s="16" t="str">
        <x:v>Unknown</x:v>
      </x:c>
      <x:c r="O22" s="19"/>
      <x:c r="P22" s="16" t="str"/>
      <x:c r="Q22" s="16" t="str">
        <x:v>Greater Vancouver</x:v>
      </x:c>
      <x:c r="R22" s="17"/>
      <x:c r="S22" s="17"/>
      <x:c r="T22" s="16" t="str"/>
      <x:c r="U22" s="16" t="str">
        <x:f>IF(R22="","Dates unknown",IF(R22&gt;=Overview!$B$5,"After departure",IF(S22="","End unknown",IF(S22&gt;=Overview!$B$5,"Overlaps departure","Before departure"))))</x:f>
        <x:v>Dates unknown</x:v>
      </x:c>
      <x:c r="V22" s="16" t="str">
        <x:v>Not stated</x:v>
      </x:c>
      <x:c r="W22" s="16" t="str">
        <x:v>Not stated</x:v>
      </x:c>
      <x:c r="X22" s="16" t="str">
        <x:v>Not stated</x:v>
      </x:c>
      <x:c r="Y22" s="16" t="str"/>
      <x:c r="Z22" s="16" t="str">
        <x:v>Not stated</x:v>
      </x:c>
      <x:c r="AA22" s="16" t="str">
        <x:v>Not yet captured</x:v>
      </x:c>
      <x:c r="AB22" s="16" t="str"/>
      <x:c r="AC22" s="16" t="str">
        <x:v>https://www.facebook.com/groups/23366837344/</x:v>
      </x:c>
      <x:c r="AD22" s="16" t="str">
        <x:v>Vancouver Independent Film Crew — Siobhan Rebecca</x:v>
      </x:c>
      <x:c r="AE22" s="17" t="d">
        <x:v>2026-10-15T00:00:00.000Z</x:v>
      </x:c>
      <x:c r="AF22" s="16" t="str">
        <x:v>Preview only — research lead</x:v>
      </x:c>
      <x:c r="AG22" s="16" t="str">
        <x:v>Wildlife storytelling; funding not confirmed in preview</x:v>
      </x:c>
      <x:c r="AH22" s="16" t="str">
        <x:v>Funding, role, pay, dates, contact and submission materials</x:v>
      </x:c>
    </x:row>
    <x:row r="23" ht="48" customHeight="1">
      <x:c r="A23" s="16" t="str">
        <x:v>TV-MOVIE-LEAD</x:v>
      </x:c>
      <x:c r="B23" s="24" t="str">
        <x:v>Research needed</x:v>
      </x:c>
      <x:c r="C23" s="24" t="str">
        <x:v>Review fit</x:v>
      </x:c>
      <x:c r="D23" s="16" t="str">
        <x:v>Acting — film / TV</x:v>
      </x:c>
      <x:c r="E23" s="16" t="str">
        <x:v>Open TV movie casting</x:v>
      </x:c>
      <x:c r="F23" s="16" t="str">
        <x:v>Boy, 12–14 — lead</x:v>
      </x:c>
      <x:c r="G23" s="17"/>
      <x:c r="H23" s="18" t="str">
        <x:f>IF(G23="","",INT(G23)-INT(Overview!$B$4))</x:f>
      </x:c>
      <x:c r="I23" s="16" t="str">
        <x:f>IF(OR(B23="Passed",B23="Closed"),"No action",IF(OR(B23="Submitted",B23="Waitlisted",B23="Callback",B23="Booked"),IF(L23="","Track outcome",IF(L23&lt;=Overview!$B$4,"Follow up","Follow-up scheduled")),IF(G23="","Confirm deadline",IF(H23&lt;0,"Deadline passed",IF(H23=0,"Due today",IF(H23&lt;=3,"Due within 3 days","Open queue"))))))</x:f>
        <x:v>Confirm deadline</x:v>
      </x:c>
      <x:c r="J23" s="16" t="str">
        <x:v>Only if eligible: email name and recent photo</x:v>
      </x:c>
      <x:c r="K23" s="25"/>
      <x:c r="L23" s="25"/>
      <x:c r="M23" s="24" t="str"/>
      <x:c r="N23" s="16" t="str">
        <x:v>Unknown</x:v>
      </x:c>
      <x:c r="O23" s="19"/>
      <x:c r="P23" s="16" t="str"/>
      <x:c r="Q23" s="16" t="str">
        <x:v>Greater Vancouver</x:v>
      </x:c>
      <x:c r="R23" s="17" t="d">
        <x:v>2026-11-02T00:00:00.000Z</x:v>
      </x:c>
      <x:c r="S23" s="17" t="d">
        <x:v>2026-11-23T00:00:00.000Z</x:v>
      </x:c>
      <x:c r="T23" s="16" t="str"/>
      <x:c r="U23" s="16" t="str">
        <x:f>IF(R23="","Dates unknown",IF(R23&gt;=Overview!$B$5,"After departure",IF(S23="","End unknown",IF(S23&gt;=Overview!$B$5,"Overlaps departure","Before departure"))))</x:f>
        <x:v>Before departure</x:v>
      </x:c>
      <x:c r="V23" s="16" t="str">
        <x:v>Boy aged 12–14, fragile and small for his age; BC resident/taxpayer; fully available Nov 2–23</x:v>
      </x:c>
      <x:c r="W23" s="16" t="str">
        <x:v>UBCP</x:v>
      </x:c>
      <x:c r="X23" s="16" t="str">
        <x:v>Not stated</x:v>
      </x:c>
      <x:c r="Y23" s="16" t="str"/>
      <x:c r="Z23" s="16" t="str">
        <x:v>Name and recent photo</x:v>
      </x:c>
      <x:c r="AA23" s="16" t="str">
        <x:v>assistant@jackielindcasting.com</x:v>
      </x:c>
      <x:c r="AB23" s="16" t="str"/>
      <x:c r="AC23" s="16" t="str">
        <x:v>https://www.facebook.com/groups/283017421807719/</x:v>
      </x:c>
      <x:c r="AD23" s="16" t="str">
        <x:v>Actors in Vancouver — Tara Jayne Bell-Irving / Jackie Lind Casting</x:v>
      </x:c>
      <x:c r="AE23" s="17" t="d">
        <x:v>2026-10-15T00:00:00.000Z</x:v>
      </x:c>
      <x:c r="AF23" s="16" t="str">
        <x:v>Full casting text reviewed Oct 15</x:v>
      </x:c>
      <x:c r="AG23" s="16" t="str"/>
      <x:c r="AH23" s="16" t="str">
        <x:v>Pay, submission deadline, exact shoot location and direct post URL</x:v>
      </x:c>
    </x:row>
    <x:row r="24" ht="48" customHeight="1">
      <x:c r="A24" s="16" t="str">
        <x:v>YOURSTORY-HOST</x:v>
      </x:c>
      <x:c r="B24" s="24" t="str">
        <x:v>To do</x:v>
      </x:c>
      <x:c r="C24" s="24" t="str">
        <x:v>High</x:v>
      </x:c>
      <x:c r="D24" s="16" t="str">
        <x:v>Commercial / comedy</x:v>
      </x:c>
      <x:c r="E24" s="16" t="str">
        <x:v>Your Story training series</x:v>
      </x:c>
      <x:c r="F24" s="16" t="str">
        <x:v>Male talk-show co-host</x:v>
      </x:c>
      <x:c r="G24" s="17"/>
      <x:c r="H24" s="18" t="str">
        <x:f>IF(G24="","",INT(G24)-INT(Overview!$B$4))</x:f>
      </x:c>
      <x:c r="I24" s="16" t="str">
        <x:f>IF(OR(B24="Passed",B24="Closed"),"No action",IF(OR(B24="Submitted",B24="Waitlisted",B24="Callback",B24="Booked"),IF(L24="","Track outcome",IF(L24&lt;=Overview!$B$4,"Follow up","Follow-up scheduled")),IF(G24="","Confirm deadline",IF(H24&lt;0,"Deadline passed",IF(H24=0,"Due today",IF(H24&lt;=3,"Due within 3 days","Open queue"))))))</x:f>
        <x:v>Confirm deadline</x:v>
      </x:c>
      <x:c r="J24" s="16" t="str">
        <x:v>Email materials and requested role; confirm availability and usage terms</x:v>
      </x:c>
      <x:c r="K24" s="25"/>
      <x:c r="L24" s="25"/>
      <x:c r="M24" s="24" t="str"/>
      <x:c r="N24" s="16" t="str">
        <x:v>Paid</x:v>
      </x:c>
      <x:c r="O24" s="19" t="n">
        <x:v>500</x:v>
      </x:c>
      <x:c r="P24" s="16" t="str">
        <x:v>Per day; 1 shoot day; perpetual buyout</x:v>
      </x:c>
      <x:c r="Q24" s="16" t="str">
        <x:v>Metro Vancouver</x:v>
      </x:c>
      <x:c r="R24" s="17" t="d">
        <x:v>2026-11-09T00:00:00.000Z</x:v>
      </x:c>
      <x:c r="S24" s="17" t="d">
        <x:v>2026-11-10T00:00:00.000Z</x:v>
      </x:c>
      <x:c r="T24" s="16" t="str">
        <x:v>One day within Nov 9–10; confirm assigned day</x:v>
      </x:c>
      <x:c r="U24" s="16" t="str">
        <x:f>IF(R24="","Dates unknown",IF(R24&gt;=Overview!$B$5,"After departure",IF(S24="","End unknown",IF(S24&gt;=Overview!$B$5,"Overlaps departure","Before departure"))))</x:f>
        <x:v>Before departure</x:v>
      </x:c>
      <x:c r="V24" s="16" t="str">
        <x:v>Male; warm, sharp, natural chemistry with co-host</x:v>
      </x:c>
      <x:c r="W24" s="16" t="str">
        <x:v>Not stated</x:v>
      </x:c>
      <x:c r="X24" s="16" t="str">
        <x:v>Not stated</x:v>
      </x:c>
      <x:c r="Y24" s="16" t="str"/>
      <x:c r="Z24" s="16" t="str">
        <x:v>Headshot, short reel or self-tape, and role(s) requested</x:v>
      </x:c>
      <x:c r="AA24" s="16" t="str">
        <x:v>casting@your-story.agency</x:v>
      </x:c>
      <x:c r="AB24" s="16" t="str"/>
      <x:c r="AC24" s="16" t="str">
        <x:v>https://www.facebook.com/groups/283017421807719/</x:v>
      </x:c>
      <x:c r="AD24" s="16" t="str">
        <x:v>Actors in Vancouver — Colin Marshall / Your Story</x:v>
      </x:c>
      <x:c r="AE24" s="17" t="d">
        <x:v>2026-10-15T00:00:00.000Z</x:v>
      </x:c>
      <x:c r="AF24" s="16" t="str">
        <x:v>Full text reviewed</x:v>
      </x:c>
      <x:c r="AG24" s="16" t="str">
        <x:v>Premium training series on curved LED wall; buyout in perpetuity included in listed rate. Confirm usage/reel rights.</x:v>
      </x:c>
      <x:c r="AH24" s="16" t="str">
        <x:v>Submission deadline, currency, union status, call times and direct post URL</x:v>
      </x:c>
    </x:row>
    <x:row r="25" ht="48" customHeight="1">
      <x:c r="A25" s="16" t="str">
        <x:v>YOURSTORY-DEMO</x:v>
      </x:c>
      <x:c r="B25" s="24" t="str">
        <x:v>To do</x:v>
      </x:c>
      <x:c r="C25" s="24" t="str">
        <x:v>High</x:v>
      </x:c>
      <x:c r="D25" s="16" t="str">
        <x:v>Commercial / comedy</x:v>
      </x:c>
      <x:c r="E25" s="16" t="str">
        <x:v>Your Story training series</x:v>
      </x:c>
      <x:c r="F25" s="16" t="str">
        <x:v>Demo / roleplay talent</x:v>
      </x:c>
      <x:c r="G25" s="17"/>
      <x:c r="H25" s="18" t="str">
        <x:f>IF(G25="","",INT(G25)-INT(Overview!$B$4))</x:f>
      </x:c>
      <x:c r="I25" s="16" t="str">
        <x:f>IF(OR(B25="Passed",B25="Closed"),"No action",IF(OR(B25="Submitted",B25="Waitlisted",B25="Callback",B25="Booked"),IF(L25="","Track outcome",IF(L25&lt;=Overview!$B$4,"Follow up","Follow-up scheduled")),IF(G25="","Confirm deadline",IF(H25&lt;0,"Deadline passed",IF(H25=0,"Due today",IF(H25&lt;=3,"Due within 3 days","Open queue"))))))</x:f>
        <x:v>Confirm deadline</x:v>
      </x:c>
      <x:c r="J25" s="16" t="str">
        <x:v>Email materials and requested role; confirm availability and usage terms</x:v>
      </x:c>
      <x:c r="K25" s="25"/>
      <x:c r="L25" s="25"/>
      <x:c r="M25" s="24" t="str"/>
      <x:c r="N25" s="16" t="str">
        <x:v>Paid</x:v>
      </x:c>
      <x:c r="O25" s="19" t="n">
        <x:v>350</x:v>
      </x:c>
      <x:c r="P25" s="16" t="str">
        <x:v>Half-day; perpetual buyout</x:v>
      </x:c>
      <x:c r="Q25" s="16" t="str">
        <x:v>Metro Vancouver</x:v>
      </x:c>
      <x:c r="R25" s="17" t="d">
        <x:v>2026-11-09T00:00:00.000Z</x:v>
      </x:c>
      <x:c r="S25" s="17" t="d">
        <x:v>2026-11-10T00:00:00.000Z</x:v>
      </x:c>
      <x:c r="T25" s="16" t="str">
        <x:v>Half-day within Nov 9–10; confirm assigned date</x:v>
      </x:c>
      <x:c r="U25" s="16" t="str">
        <x:f>IF(R25="","Dates unknown",IF(R25&gt;=Overview!$B$5,"After departure",IF(S25="","End unknown",IF(S25&gt;=Overview!$B$5,"Overlaps departure","Before departure"))))</x:f>
        <x:v>Before departure</x:v>
      </x:c>
      <x:c r="V25" s="16" t="str">
        <x:v>Male and female; clear, grounded delivery; short demos and auction-floor roleplay</x:v>
      </x:c>
      <x:c r="W25" s="16" t="str">
        <x:v>Not stated</x:v>
      </x:c>
      <x:c r="X25" s="16" t="str">
        <x:v>Not stated</x:v>
      </x:c>
      <x:c r="Y25" s="16" t="str"/>
      <x:c r="Z25" s="16" t="str">
        <x:v>Headshot, short reel or self-tape, and role(s) requested</x:v>
      </x:c>
      <x:c r="AA25" s="16" t="str">
        <x:v>casting@your-story.agency</x:v>
      </x:c>
      <x:c r="AB25" s="16" t="str"/>
      <x:c r="AC25" s="16" t="str">
        <x:v>https://www.facebook.com/groups/283017421807719/</x:v>
      </x:c>
      <x:c r="AD25" s="16" t="str">
        <x:v>Actors in Vancouver — Colin Marshall / Your Story</x:v>
      </x:c>
      <x:c r="AE25" s="17" t="d">
        <x:v>2026-10-15T00:00:00.000Z</x:v>
      </x:c>
      <x:c r="AF25" s="16" t="str">
        <x:v>Full text reviewed</x:v>
      </x:c>
      <x:c r="AG25" s="16" t="str">
        <x:v>Premium training series on curved LED wall; buyout in perpetuity included in listed rate. Confirm usage/reel rights.</x:v>
      </x:c>
      <x:c r="AH25" s="16" t="str">
        <x:v>Submission deadline, currency, union status, call times and direct post URL</x:v>
      </x:c>
    </x:row>
    <x:row r="26" ht="48" customHeight="1">
      <x:c r="A26" s="16" t="str">
        <x:v>YOURSTORY-PRESENTER</x:v>
      </x:c>
      <x:c r="B26" s="24" t="str">
        <x:v>To do</x:v>
      </x:c>
      <x:c r="C26" s="24" t="str">
        <x:v>High</x:v>
      </x:c>
      <x:c r="D26" s="16" t="str">
        <x:v>Commercial / comedy</x:v>
      </x:c>
      <x:c r="E26" s="16" t="str">
        <x:v>Your Story training series</x:v>
      </x:c>
      <x:c r="F26" s="16" t="str">
        <x:v>Female lead presenter</x:v>
      </x:c>
      <x:c r="G26" s="17"/>
      <x:c r="H26" s="18" t="str">
        <x:f>IF(G26="","",INT(G26)-INT(Overview!$B$4))</x:f>
      </x:c>
      <x:c r="I26" s="16" t="str">
        <x:f>IF(OR(B26="Passed",B26="Closed"),"No action",IF(OR(B26="Submitted",B26="Waitlisted",B26="Callback",B26="Booked"),IF(L26="","Track outcome",IF(L26&lt;=Overview!$B$4,"Follow up","Follow-up scheduled")),IF(G26="","Confirm deadline",IF(H26&lt;0,"Deadline passed",IF(H26=0,"Due today",IF(H26&lt;=3,"Due within 3 days","Open queue"))))))</x:f>
        <x:v>Confirm deadline</x:v>
      </x:c>
      <x:c r="J26" s="16" t="str">
        <x:v>Email materials and requested role; confirm availability and usage terms</x:v>
      </x:c>
      <x:c r="K26" s="25"/>
      <x:c r="L26" s="25"/>
      <x:c r="M26" s="24" t="str"/>
      <x:c r="N26" s="16" t="str">
        <x:v>Paid</x:v>
      </x:c>
      <x:c r="O26" s="19" t="n">
        <x:v>700</x:v>
      </x:c>
      <x:c r="P26" s="16" t="str">
        <x:v>Per day; 2 full shoot days; perpetual buyout</x:v>
      </x:c>
      <x:c r="Q26" s="16" t="str">
        <x:v>Metro Vancouver</x:v>
      </x:c>
      <x:c r="R26" s="17" t="d">
        <x:v>2026-11-09T00:00:00.000Z</x:v>
      </x:c>
      <x:c r="S26" s="17" t="d">
        <x:v>2026-11-10T00:00:00.000Z</x:v>
      </x:c>
      <x:c r="T26" s="16" t="str">
        <x:v>Nov 9 and 10; two full days</x:v>
      </x:c>
      <x:c r="U26" s="16" t="str">
        <x:f>IF(R26="","Dates unknown",IF(R26&gt;=Overview!$B$5,"After departure",IF(S26="","End unknown",IF(S26&gt;=Overview!$B$5,"Overlaps departure","Before departure"))))</x:f>
        <x:v>Before departure</x:v>
      </x:c>
      <x:c r="V26" s="16" t="str">
        <x:v>Female early 30s; polished, confident, strong voice; teleprompter and straight-to-camera teaching</x:v>
      </x:c>
      <x:c r="W26" s="16" t="str">
        <x:v>Not stated</x:v>
      </x:c>
      <x:c r="X26" s="16" t="str">
        <x:v>Not stated</x:v>
      </x:c>
      <x:c r="Y26" s="16" t="str"/>
      <x:c r="Z26" s="16" t="str">
        <x:v>Headshot, short reel or self-tape, and role(s) requested</x:v>
      </x:c>
      <x:c r="AA26" s="16" t="str">
        <x:v>casting@your-story.agency</x:v>
      </x:c>
      <x:c r="AB26" s="16" t="str"/>
      <x:c r="AC26" s="16" t="str">
        <x:v>https://www.facebook.com/groups/283017421807719/</x:v>
      </x:c>
      <x:c r="AD26" s="16" t="str">
        <x:v>Actors in Vancouver — Colin Marshall / Your Story</x:v>
      </x:c>
      <x:c r="AE26" s="17" t="d">
        <x:v>2026-10-15T00:00:00.000Z</x:v>
      </x:c>
      <x:c r="AF26" s="16" t="str">
        <x:v>Full text reviewed</x:v>
      </x:c>
      <x:c r="AG26" s="16" t="str">
        <x:v>Premium training series on curved LED wall; buyout in perpetuity included in listed rate. Confirm usage/reel rights.</x:v>
      </x:c>
      <x:c r="AH26" s="16" t="str">
        <x:v>Submission deadline, currency, union status, call times and direct post URL</x:v>
      </x:c>
    </x:row>
    <x:row r="27">
      <x:c r="A27" s="16" t="str">
        <x:v>RESTAURANT-DANIEL</x:v>
      </x:c>
      <x:c r="B27" s="24" t="str">
        <x:v>To do</x:v>
      </x:c>
      <x:c r="C27" s="24" t="str">
        <x:v>Urgent</x:v>
      </x:c>
      <x:c r="D27" s="16" t="str">
        <x:v>Commercial / comedy</x:v>
      </x:c>
      <x:c r="E27" s="16" t="str">
        <x:v>Restaurant social media videos</x:v>
      </x:c>
      <x:c r="F27" s="16" t="str">
        <x:v>Daniel</x:v>
      </x:c>
      <x:c r="G27" s="17"/>
      <x:c r="H27" s="18" t="str">
        <x:f>IF(G27="","",INT(G27)-INT(Overview!$B$4))</x:f>
      </x:c>
      <x:c r="I27" s="16" t="str">
        <x:f>IF(OR(B27="Passed",B27="Closed"),"No action",IF(OR(B27="Submitted",B27="Waitlisted",B27="Callback",B27="Booked"),IF(L27="","Track outcome",IF(L27&lt;=Overview!$B$4,"Follow up","Follow-up scheduled")),IF(G27="","Confirm deadline",IF(H27&lt;0,"Deadline passed",IF(H27=0,"Due today",IF(H27&lt;=3,"Due within 3 days","Open queue"))))))</x:f>
        <x:v>Confirm deadline</x:v>
      </x:c>
      <x:c r="J27" s="16" t="str">
        <x:v>Apply via form promptly; confirm Monday availability and supply headshot/resume URLs</x:v>
      </x:c>
      <x:c r="K27" s="25"/>
      <x:c r="L27" s="25"/>
      <x:c r="M27" s="24"/>
      <x:c r="N27" s="16" t="str">
        <x:v>Paid</x:v>
      </x:c>
      <x:c r="O27" s="19" t="n">
        <x:v>150</x:v>
      </x:c>
      <x:c r="P27" s="16" t="str">
        <x:v>$150–250 per actor; currency not stated; 4–6 hours</x:v>
      </x:c>
      <x:c r="Q27" s="16" t="str">
        <x:v>Vancouver, BC</x:v>
      </x:c>
      <x:c r="R27" s="17" t="n">
        <x:v>46321</x:v>
      </x:c>
      <x:c r="S27" s="17"/>
      <x:c r="T27" s="16"/>
      <x:c r="U27" s="16" t="str">
        <x:f>IF(R27="","Dates unknown",IF(R27&gt;=Overview!$B$5,"After departure",IF(S27="","End unknown",IF(S27&gt;=Overview!$B$5,"Overlaps departure","Before departure"))))</x:f>
        <x:v>End unknown</x:v>
      </x:c>
      <x:c r="V27" s="16" t="str">
        <x:v>Male character 25–35, open ethnicity; user actual 23/plays 25. Form asks actual age range 18–24.</x:v>
      </x:c>
      <x:c r="W27" s="16" t="str">
        <x:v>Non-union</x:v>
      </x:c>
      <x:c r="X27" s="16" t="str">
        <x:v>Form; selected talent receives script</x:v>
      </x:c>
      <x:c r="Y27" s="16"/>
      <x:c r="Z27" s="16" t="str">
        <x:v>Form: email, roles, name, phone, city, truthful age range, union, availability, headshot URL, acting resume URL; reel link optional</x:v>
      </x:c>
      <x:c r="AA27" s="16" t="str">
        <x:v>Google Form</x:v>
      </x:c>
      <x:c r="AB27" s="16"/>
      <x:c r="AC27" s="16" t="str">
        <x:v>https://forms.gle/RTJNDAkZgYuwcQfR6</x:v>
      </x:c>
      <x:c r="AD27" s="16" t="str">
        <x:v>Paid Only (10K) — Rashi Modi</x:v>
      </x:c>
      <x:c r="AE27" s="17" t="n">
        <x:v>46316</x:v>
      </x:c>
      <x:c r="AF27" s="16" t="str">
        <x:v>Post and live form reviewed Oct 21; open at check</x:v>
      </x:c>
      <x:c r="AG27" s="16" t="str">
        <x:v>Paid on-camera commercial comedy</x:v>
      </x:c>
      <x:c r="AH27" s="16" t="str">
        <x:v>Deadline/timezone and currency unstated; Monday work schedule; headshot and resume must be hosted links</x:v>
      </x:c>
    </x:row>
    <x:row r="28">
      <x:c r="A28" s="16" t="str">
        <x:v>RESTAURANT-MAN</x:v>
      </x:c>
      <x:c r="B28" s="24" t="str">
        <x:v>To do</x:v>
      </x:c>
      <x:c r="C28" s="24" t="str">
        <x:v>Urgent</x:v>
      </x:c>
      <x:c r="D28" s="16" t="str">
        <x:v>Commercial / comedy</x:v>
      </x:c>
      <x:c r="E28" s="16" t="str">
        <x:v>Restaurant social media videos</x:v>
      </x:c>
      <x:c r="F28" s="16" t="str">
        <x:v>The Man</x:v>
      </x:c>
      <x:c r="G28" s="17"/>
      <x:c r="H28" s="18" t="str">
        <x:f>IF(G28="","",INT(G28)-INT(Overview!$B$4))</x:f>
      </x:c>
      <x:c r="I28" s="16" t="str">
        <x:f>IF(OR(B28="Passed",B28="Closed"),"No action",IF(OR(B28="Submitted",B28="Waitlisted",B28="Callback",B28="Booked"),IF(L28="","Track outcome",IF(L28&lt;=Overview!$B$4,"Follow up","Follow-up scheduled")),IF(G28="","Confirm deadline",IF(H28&lt;0,"Deadline passed",IF(H28=0,"Due today",IF(H28&lt;=3,"Due within 3 days","Open queue"))))))</x:f>
        <x:v>Confirm deadline</x:v>
      </x:c>
      <x:c r="J28" s="16" t="str">
        <x:v>Apply via same form promptly; physical comedic monologue; confirm Monday availability</x:v>
      </x:c>
      <x:c r="K28" s="25"/>
      <x:c r="L28" s="25"/>
      <x:c r="M28" s="24"/>
      <x:c r="N28" s="16" t="str">
        <x:v>Paid</x:v>
      </x:c>
      <x:c r="O28" s="19" t="n">
        <x:v>150</x:v>
      </x:c>
      <x:c r="P28" s="16" t="str">
        <x:v>$150–250 per actor; currency not stated; 4–6 hours</x:v>
      </x:c>
      <x:c r="Q28" s="16" t="str">
        <x:v>Vancouver, BC</x:v>
      </x:c>
      <x:c r="R28" s="17" t="n">
        <x:v>46321</x:v>
      </x:c>
      <x:c r="S28" s="17"/>
      <x:c r="T28" s="16"/>
      <x:c r="U28" s="16" t="str">
        <x:f>IF(R28="","Dates unknown",IF(R28&gt;=Overview!$B$5,"After departure",IF(S28="","End unknown",IF(S28&gt;=Overview!$B$5,"Overlaps departure","Before departure"))))</x:f>
        <x:v>End unknown</x:v>
      </x:c>
      <x:c r="V28" s="16" t="str">
        <x:v>Male character 25–35, open ethnicity; user actual 23/plays 25. Form asks actual age range 18–24.</x:v>
      </x:c>
      <x:c r="W28" s="16" t="str">
        <x:v>Non-union</x:v>
      </x:c>
      <x:c r="X28" s="16" t="str">
        <x:v>Form; selected talent receives script</x:v>
      </x:c>
      <x:c r="Y28" s="16"/>
      <x:c r="Z28" s="16" t="str">
        <x:v>Form: email, roles, name, phone, city, truthful age range, union, availability, headshot URL, acting resume URL; reel link optional</x:v>
      </x:c>
      <x:c r="AA28" s="16" t="str">
        <x:v>Google Form</x:v>
      </x:c>
      <x:c r="AB28" s="16"/>
      <x:c r="AC28" s="16" t="str">
        <x:v>https://forms.gle/RTJNDAkZgYuwcQfR6</x:v>
      </x:c>
      <x:c r="AD28" s="16" t="str">
        <x:v>Paid Only (10K) — Rashi Modi</x:v>
      </x:c>
      <x:c r="AE28" s="17" t="n">
        <x:v>46316</x:v>
      </x:c>
      <x:c r="AF28" s="16" t="str">
        <x:v>Post and live form reviewed Oct 21; open at check</x:v>
      </x:c>
      <x:c r="AG28" s="16" t="str">
        <x:v>Paid speaking/comedic commercial role</x:v>
      </x:c>
      <x:c r="AH28" s="16" t="str">
        <x:v>Deadline/timezone and currency unstated; Monday work schedule; headshot and resume must be hosted links</x:v>
      </x:c>
    </x:row>
    <x:row r="29">
      <x:c r="A29" s="16" t="str">
        <x:v>DAYDREAMER-REELS</x:v>
      </x:c>
      <x:c r="B29" s="24" t="str">
        <x:v>To do</x:v>
      </x:c>
      <x:c r="C29" s="24" t="str">
        <x:v>Review fit</x:v>
      </x:c>
      <x:c r="D29" s="16" t="str">
        <x:v>Commercial / modeling</x:v>
      </x:c>
      <x:c r="E29" s="16" t="str">
        <x:v>DAYDREAMER cinematic reels</x:v>
      </x:c>
      <x:c r="F29" s="16" t="str">
        <x:v>Male actor / model</x:v>
      </x:c>
      <x:c r="G29" s="17"/>
      <x:c r="H29" s="18" t="str">
        <x:f>IF(G29="","",INT(G29)-INT(Overview!$B$4))</x:f>
      </x:c>
      <x:c r="I29" s="16" t="str">
        <x:f>IF(OR(B29="Passed",B29="Closed"),"No action",IF(OR(B29="Submitted",B29="Waitlisted",B29="Callback",B29="Booked"),IF(L29="","Track outcome",IF(L29&lt;=Overview!$B$4,"Follow up","Follow-up scheduled")),IF(G29="","Confirm deadline",IF(H29&lt;0,"Deadline passed",IF(H29=0,"Due today",IF(H29&lt;=3,"Due within 3 days","Open queue"))))))</x:f>
        <x:v>Confirm deadline</x:v>
      </x:c>
      <x:c r="J29" s="16" t="str">
        <x:v>If interested, DM poster with recent photo, actual age, acting/modeling experience; clarify usage and schedule</x:v>
      </x:c>
      <x:c r="K29" s="25"/>
      <x:c r="L29" s="25"/>
      <x:c r="M29" s="24"/>
      <x:c r="N29" s="16" t="str">
        <x:v>Paid</x:v>
      </x:c>
      <x:c r="O29" s="19" t="n">
        <x:v>50</x:v>
      </x:c>
      <x:c r="P29" s="16" t="str">
        <x:v>$50 per person; currency not stated; approx. 2 hours</x:v>
      </x:c>
      <x:c r="Q29" s="16" t="str">
        <x:v>Vancouver / Lower Mainland</x:v>
      </x:c>
      <x:c r="R29" s="17"/>
      <x:c r="S29" s="17"/>
      <x:c r="T29" s="16"/>
      <x:c r="U29" s="16" t="str">
        <x:f>IF(R29="","Dates unknown",IF(R29&gt;=Overview!$B$5,"After departure",IF(S29="","End unknown",IF(S29&gt;=Overview!$B$5,"Overlaps departure","Before departure"))))</x:f>
        <x:v>Dates unknown</x:v>
      </x:c>
      <x:c r="V29" s="16" t="str">
        <x:v>Actors 18+; user fits. Story-driven fashion, mystery and psychological-horror reels.</x:v>
      </x:c>
      <x:c r="W29" s="16" t="str">
        <x:v>Not stated</x:v>
      </x:c>
      <x:c r="X29" s="16" t="str">
        <x:v>DM introduction; no audition format stated</x:v>
      </x:c>
      <x:c r="Y29" s="16"/>
      <x:c r="Z29" s="16" t="str">
        <x:v>Recent photo, actual age, previous experience if any</x:v>
      </x:c>
      <x:c r="AA29" s="16" t="str">
        <x:v>Kingsley Specter via Facebook post</x:v>
      </x:c>
      <x:c r="AB29" s="16"/>
      <x:c r="AC29" s="16" t="str">
        <x:v>https://www.facebook.com/groups/511691079724250/posts/2155331455360196/</x:v>
      </x:c>
      <x:c r="AD29" s="16" t="str">
        <x:v>Paid Only (2.5K) — Kingsley Specter</x:v>
      </x:c>
      <x:c r="AE29" s="17" t="n">
        <x:v>46316</x:v>
      </x:c>
      <x:c r="AF29" s="16" t="str">
        <x:v>Full post reviewed Oct 21; no cutoff published</x:v>
      </x:c>
      <x:c r="AG29" s="16" t="str">
        <x:v>Short cinematic reels, possible on-camera material; rights/use not stated</x:v>
      </x:c>
      <x:c r="AH29" s="16" t="str">
        <x:v>Deadline, filming date, exact location, currency, usage rights, reel access</x:v>
      </x:c>
    </x:row>
    <x:row r="30">
      <x:c r="A30" s="16" t="str">
        <x:v>FOODSPEC-STUDENT</x:v>
      </x:c>
      <x:c r="B30" s="24" t="str">
        <x:v>To do</x:v>
      </x:c>
      <x:c r="C30" s="24" t="str">
        <x:v>Review fit</x:v>
      </x:c>
      <x:c r="D30" s="16" t="str">
        <x:v>Commercial / comedy</x:v>
      </x:c>
      <x:c r="E30" s="16" t="str">
        <x:v>Food-delivery spec ad</x:v>
      </x:c>
      <x:c r="F30" s="16" t="str">
        <x:v>Student</x:v>
      </x:c>
      <x:c r="G30" s="17"/>
      <x:c r="H30" s="18" t="str">
        <x:f>IF(G30="","",INT(G30)-INT(Overview!$B$4))</x:f>
      </x:c>
      <x:c r="I30" s="16" t="str">
        <x:f>IF(OR(B30="Passed",B30="Closed"),"No action",IF(OR(B30="Submitted",B30="Waitlisted",B30="Callback",B30="Booked"),IF(L30="","Track outcome",IF(L30&lt;=Overview!$B$4,"Follow up","Follow-up scheduled")),IF(G30="","Confirm deadline",IF(H30&lt;0,"Deadline passed",IF(H30=0,"Due today",IF(H30&lt;=3,"Due within 3 days","Open queue"))))))</x:f>
        <x:v>Confirm deadline</x:v>
      </x:c>
      <x:c r="J30" s="16" t="str">
        <x:v>Email headshot and reel if available; user has no reel, ask whether portfolio/self-tape is acceptable</x:v>
      </x:c>
      <x:c r="K30" s="25"/>
      <x:c r="L30" s="25"/>
      <x:c r="M30" s="24"/>
      <x:c r="N30" s="16" t="str">
        <x:v>Unpaid / volunteer</x:v>
      </x:c>
      <x:c r="O30" s="19"/>
      <x:c r="P30" s="16"/>
      <x:c r="Q30" s="16" t="str">
        <x:v>Vancouver</x:v>
      </x:c>
      <x:c r="R30" s="17" t="n">
        <x:v>46331</x:v>
      </x:c>
      <x:c r="S30" s="17"/>
      <x:c r="T30" s="16"/>
      <x:c r="U30" s="16" t="str">
        <x:f>IF(R30="","Dates unknown",IF(R30&gt;=Overview!$B$5,"After departure",IF(S30="","End unknown",IF(S30&gt;=Overview!$B$5,"Overlaps departure","Before departure"))))</x:f>
        <x:v>End unknown</x:v>
      </x:c>
      <x:c r="V30" s="16" t="str">
        <x:v>Male early 20s, nonunion; user actual 23 fits</x:v>
      </x:c>
      <x:c r="W30" s="16" t="str">
        <x:v>Non-union</x:v>
      </x:c>
      <x:c r="X30" s="16" t="str">
        <x:v>Not stated</x:v>
      </x:c>
      <x:c r="Y30" s="16"/>
      <x:c r="Z30" s="16" t="str">
        <x:v>Headshot and reel requested</x:v>
      </x:c>
      <x:c r="AA30" s="16" t="str">
        <x:v>productionsbysama@gmail.com</x:v>
      </x:c>
      <x:c r="AB30" s="16"/>
      <x:c r="AC30" s="16" t="str">
        <x:v>https://www.facebook.com/groups/233914560287649/posts/3005362366476174/</x:v>
      </x:c>
      <x:c r="AD30" s="16" t="str">
        <x:v>BC Casting Call — Natasya Grisella</x:v>
      </x:c>
      <x:c r="AE30" s="17" t="n">
        <x:v>46316</x:v>
      </x:c>
      <x:c r="AF30" s="16" t="str">
        <x:v>Full post reviewed Oct 21; cutoff not stated</x:v>
      </x:c>
      <x:c r="AG30" s="16" t="str">
        <x:v>Spec ad on-camera footage possible; usage/reel access not promised</x:v>
      </x:c>
      <x:c r="AH30" s="16" t="str">
        <x:v>Deadline, exact shoot hours, rights and alternative to requested reel</x:v>
      </x:c>
    </x:row>
    <x:row r="31">
      <x:c r="A31" s="16" t="str">
        <x:v>FOODSPEC-BOYFRIEND</x:v>
      </x:c>
      <x:c r="B31" s="24" t="str">
        <x:v>To do</x:v>
      </x:c>
      <x:c r="C31" s="24" t="str">
        <x:v>Review fit</x:v>
      </x:c>
      <x:c r="D31" s="16" t="str">
        <x:v>Commercial / comedy</x:v>
      </x:c>
      <x:c r="E31" s="16" t="str">
        <x:v>Food-delivery spec ad</x:v>
      </x:c>
      <x:c r="F31" s="16" t="str">
        <x:v>Boyfriend</x:v>
      </x:c>
      <x:c r="G31" s="17"/>
      <x:c r="H31" s="18" t="str">
        <x:f>IF(G31="","",INT(G31)-INT(Overview!$B$4))</x:f>
      </x:c>
      <x:c r="I31" s="16" t="str">
        <x:f>IF(OR(B31="Passed",B31="Closed"),"No action",IF(OR(B31="Submitted",B31="Waitlisted",B31="Callback",B31="Booked"),IF(L31="","Track outcome",IF(L31&lt;=Overview!$B$4,"Follow up","Follow-up scheduled")),IF(G31="","Confirm deadline",IF(H31&lt;0,"Deadline passed",IF(H31=0,"Due today",IF(H31&lt;=3,"Due within 3 days","Open queue"))))))</x:f>
        <x:v>Confirm deadline</x:v>
      </x:c>
      <x:c r="J31" s="16" t="str">
        <x:v>Email headshot and reel if available; ask whether portfolio/self-tape is acceptable</x:v>
      </x:c>
      <x:c r="K31" s="25"/>
      <x:c r="L31" s="25"/>
      <x:c r="M31" s="24"/>
      <x:c r="N31" s="16" t="str">
        <x:v>Unpaid / volunteer</x:v>
      </x:c>
      <x:c r="O31" s="19"/>
      <x:c r="P31" s="16"/>
      <x:c r="Q31" s="16" t="str">
        <x:v>Remote role (self-recorded video); production shoots Vancouver</x:v>
      </x:c>
      <x:c r="R31" s="17" t="n">
        <x:v>46331</x:v>
      </x:c>
      <x:c r="S31" s="17"/>
      <x:c r="T31" s="16"/>
      <x:c r="U31" s="16" t="str">
        <x:f>IF(R31="","Dates unknown",IF(R31&gt;=Overview!$B$5,"After departure",IF(S31="","End unknown",IF(S31&gt;=Overview!$B$5,"Overlaps departure","Before departure"))))</x:f>
        <x:v>End unknown</x:v>
      </x:c>
      <x:c r="V31" s="16" t="str">
        <x:v>Male character 30s; user actual 23, older playing fit uncertain</x:v>
      </x:c>
      <x:c r="W31" s="16" t="str">
        <x:v>Non-union</x:v>
      </x:c>
      <x:c r="X31" s="16" t="str">
        <x:v>Actor records short video for playback in video-call scene</x:v>
      </x:c>
      <x:c r="Y31" s="16"/>
      <x:c r="Z31" s="16" t="str">
        <x:v>Headshot and reel requested</x:v>
      </x:c>
      <x:c r="AA31" s="16" t="str">
        <x:v>productionsbysama@gmail.com</x:v>
      </x:c>
      <x:c r="AB31" s="16"/>
      <x:c r="AC31" s="16" t="str">
        <x:v>https://www.facebook.com/groups/233914560287649/posts/3005362366476174/</x:v>
      </x:c>
      <x:c r="AD31" s="16" t="str">
        <x:v>BC Casting Call — Natasya Grisella</x:v>
      </x:c>
      <x:c r="AE31" s="17" t="n">
        <x:v>46316</x:v>
      </x:c>
      <x:c r="AF31" s="16" t="str">
        <x:v>Full post reviewed Oct 21; cutoff not stated</x:v>
      </x:c>
      <x:c r="AG31" s="16" t="str">
        <x:v>Remote speaking video role, portfolio terms unknown</x:v>
      </x:c>
      <x:c r="AH31" s="16" t="str">
        <x:v>Deadline, self-recording specs, rights and age fit</x:v>
      </x:c>
    </x:row>
    <x:row r="32">
      <x:c r="A32" s="16" t="str">
        <x:v>GOLF-COMMERCIAL</x:v>
      </x:c>
      <x:c r="B32" s="24" t="str">
        <x:v>Research needed</x:v>
      </x:c>
      <x:c r="C32" s="24" t="str">
        <x:v>Review fit</x:v>
      </x:c>
      <x:c r="D32" s="16" t="str">
        <x:v>Commercial / comedy</x:v>
      </x:c>
      <x:c r="E32" s="16" t="str">
        <x:v>Golf-bag commercial</x:v>
      </x:c>
      <x:c r="F32" s="16" t="str">
        <x:v>Male actor</x:v>
      </x:c>
      <x:c r="G32" s="17"/>
      <x:c r="H32" s="18" t="str">
        <x:f>IF(G32="","",INT(G32)-INT(Overview!$B$4))</x:f>
      </x:c>
      <x:c r="I32" s="16" t="str">
        <x:f>IF(OR(B32="Passed",B32="Closed"),"No action",IF(OR(B32="Submitted",B32="Waitlisted",B32="Callback",B32="Booked"),IF(L32="","Track outcome",IF(L32&lt;=Overview!$B$4,"Follow up","Follow-up scheduled")),IF(G32="","Confirm deadline",IF(H32&lt;0,"Deadline passed",IF(H32=0,"Due today",IF(H32&lt;=3,"Due within 3 days","Open queue"))))))</x:f>
        <x:v>Confirm deadline</x:v>
      </x:c>
      <x:c r="J32" s="16" t="str">
        <x:v>Confirm whether playing 25 qualifies and request pay, location and deadline before applying</x:v>
      </x:c>
      <x:c r="K32" s="25"/>
      <x:c r="L32" s="25"/>
      <x:c r="M32" s="24"/>
      <x:c r="N32" s="16" t="str">
        <x:v>Unknown</x:v>
      </x:c>
      <x:c r="O32" s="19"/>
      <x:c r="P32" s="16"/>
      <x:c r="Q32" s="16" t="str">
        <x:v>Not stated; Vancouver group</x:v>
      </x:c>
      <x:c r="R32" s="17" t="n">
        <x:v>46331</x:v>
      </x:c>
      <x:c r="S32" s="17" t="n">
        <x:v>46333</x:v>
      </x:c>
      <x:c r="T32" s="16"/>
      <x:c r="U32" s="16" t="str">
        <x:f>IF(R32="","Dates unknown",IF(R32&gt;=Overview!$B$5,"After departure",IF(S32="","End unknown",IF(S32&gt;=Overview!$B$5,"Overlaps departure","Before departure"))))</x:f>
        <x:v>Before departure</x:v>
      </x:c>
      <x:c r="V32" s="16" t="str">
        <x:v>Male 25–45 requested; user actual 23/plays 25. Golf experience not required, clubs a plus.</x:v>
      </x:c>
      <x:c r="W32" s="16" t="str">
        <x:v>Not stated</x:v>
      </x:c>
      <x:c r="X32" s="16" t="str">
        <x:v>Not stated</x:v>
      </x:c>
      <x:c r="Y32" s="16"/>
      <x:c r="Z32" s="16" t="str">
        <x:v>Headshot and resume</x:v>
      </x:c>
      <x:c r="AA32" s="16" t="str">
        <x:v>sydney@noka.ca</x:v>
      </x:c>
      <x:c r="AB32" s="16"/>
      <x:c r="AC32" s="16" t="str">
        <x:v>https://www.facebook.com/groups/511691079724250/posts/2157381845155157/</x:v>
      </x:c>
      <x:c r="AD32" s="16" t="str">
        <x:v>Paid Only (2.5K) — Sydney Harris / Eric Shiozaki</x:v>
      </x:c>
      <x:c r="AE32" s="17" t="n">
        <x:v>46316</x:v>
      </x:c>
      <x:c r="AF32" s="16" t="str">
        <x:v>Full post reviewed Oct 21; age/pay/open status unresolved</x:v>
      </x:c>
      <x:c r="AG32" s="16" t="str">
        <x:v>Potential commercial on-camera credit</x:v>
      </x:c>
      <x:c r="AH32" s="16" t="str">
        <x:v>Actual versus playing age, rate, deadline, location, call dates</x:v>
      </x:c>
    </x:row>
    <x:row r="33">
      <x:c r="A33" s="16" t="str">
        <x:v>GOLDENDALE-TAYLOR</x:v>
      </x:c>
      <x:c r="B33" s="24" t="str">
        <x:v>To do</x:v>
      </x:c>
      <x:c r="C33" s="24" t="str">
        <x:v>High</x:v>
      </x:c>
      <x:c r="D33" s="16" t="str">
        <x:v>Acting — film / TV</x:v>
      </x:c>
      <x:c r="E33" s="16" t="str">
        <x:v>The Goldendale Slasher</x:v>
      </x:c>
      <x:c r="F33" s="16" t="str">
        <x:v>Taylor Cullen</x:v>
      </x:c>
      <x:c r="G33" s="17" t="n">
        <x:v>46325</x:v>
      </x:c>
      <x:c r="H33" s="18" t="n">
        <x:f>IF(G33="","",INT(G33)-INT(Overview!$B$4))</x:f>
        <x:v>7</x:v>
      </x:c>
      <x:c r="I33" s="16" t="str">
        <x:f>IF(OR(B33="Passed",B33="Closed"),"No action",IF(OR(B33="Submitted",B33="Waitlisted",B33="Callback",B33="Booked"),IF(L33="","Track outcome",IF(L33&lt;=Overview!$B$4,"Follow up","Follow-up scheduled")),IF(G33="","Confirm deadline",IF(H33&lt;0,"Deadline passed",IF(H33=0,"Due today",IF(H33&lt;=3,"Due within 3 days","Open queue"))))))</x:f>
        <x:v>Open queue</x:v>
      </x:c>
      <x:c r="J33" s="16" t="str">
        <x:v>Review prescreen and apply on Backstage if March 2027 dates and US work segment are feasible</x:v>
      </x:c>
      <x:c r="K33" s="25"/>
      <x:c r="L33" s="25"/>
      <x:c r="M33" s="24"/>
      <x:c r="N33" s="16" t="str">
        <x:v>Paid</x:v>
      </x:c>
      <x:c r="O33" s="19" t="n">
        <x:v>800</x:v>
      </x:c>
      <x:c r="P33" s="16" t="str">
        <x:v>US$800 flat; estimated 6 days</x:v>
      </x:c>
      <x:c r="Q33" s="16" t="str">
        <x:v>Vancouver BC and Goldendale WA</x:v>
      </x:c>
      <x:c r="R33" s="17"/>
      <x:c r="S33" s="17"/>
      <x:c r="T33" s="16"/>
      <x:c r="U33" s="16" t="str">
        <x:f>IF(R33="","Dates unknown",IF(R33&gt;=Overview!$B$5,"After departure",IF(S33="","End unknown",IF(S33&gt;=Overview!$B$5,"Overlaps departure","Before departure"))))</x:f>
        <x:v>Dates unknown</x:v>
      </x:c>
      <x:c r="V33" s="16" t="str">
        <x:v>Supporting male 20–28; Vancouver local required. US shoot/work eligibility unverified.</x:v>
      </x:c>
      <x:c r="W33" s="16" t="str">
        <x:v>Nonunion</x:v>
      </x:c>
      <x:c r="X33" s="16" t="str">
        <x:v>Backstage submission; extra details require member login</x:v>
      </x:c>
      <x:c r="Y33" s="16"/>
      <x:c r="Z33" s="16" t="str">
        <x:v>Backstage profile and three prescreen answers; exact materials behind login</x:v>
      </x:c>
      <x:c r="AA33" s="16" t="str">
        <x:v>Backstage / Lucky Mountain Media</x:v>
      </x:c>
      <x:c r="AB33" s="16"/>
      <x:c r="AC33" s="16" t="str">
        <x:v>https://www.backstage.com/casting/the-goldendale-slasher-3317601/taylor-cullen-5647999/</x:v>
      </x:c>
      <x:c r="AD33" s="16" t="str">
        <x:v>Backstage</x:v>
      </x:c>
      <x:c r="AE33" s="17" t="n">
        <x:v>46316</x:v>
      </x:c>
      <x:c r="AF33" s="16" t="str">
        <x:v>Public listing verified Oct 21; expires Oct 30 3pm, timezone unstated</x:v>
      </x:c>
      <x:c r="AG33" s="16" t="str">
        <x:v>Speaking supporting feature-film role; shoots March 2027</x:v>
      </x:c>
      <x:c r="AH33" s="16" t="str">
        <x:v>Exact March dates, US work authorization, prescreen instructions, travel costs</x:v>
      </x:c>
    </x:row>
    <x:row r="34">
      <x:c r="A34" s="16" t="str">
        <x:v>GOLDENDALE-TIMOTHY</x:v>
      </x:c>
      <x:c r="B34" s="24" t="str">
        <x:v>To do</x:v>
      </x:c>
      <x:c r="C34" s="24" t="str">
        <x:v>High</x:v>
      </x:c>
      <x:c r="D34" s="16" t="str">
        <x:v>Acting — film / TV</x:v>
      </x:c>
      <x:c r="E34" s="16" t="str">
        <x:v>The Goldendale Slasher</x:v>
      </x:c>
      <x:c r="F34" s="16" t="str">
        <x:v>Timothy Butterman</x:v>
      </x:c>
      <x:c r="G34" s="17" t="n">
        <x:v>46325</x:v>
      </x:c>
      <x:c r="H34" s="18" t="n">
        <x:f>IF(G34="","",INT(G34)-INT(Overview!$B$4))</x:f>
        <x:v>7</x:v>
      </x:c>
      <x:c r="I34" s="16" t="str">
        <x:f>IF(OR(B34="Passed",B34="Closed"),"No action",IF(OR(B34="Submitted",B34="Waitlisted",B34="Callback",B34="Booked"),IF(L34="","Track outcome",IF(L34&lt;=Overview!$B$4,"Follow up","Follow-up scheduled")),IF(G34="","Confirm deadline",IF(H34&lt;0,"Deadline passed",IF(H34=0,"Due today",IF(H34&lt;=3,"Due within 3 days","Open queue"))))))</x:f>
        <x:v>Open queue</x:v>
      </x:c>
      <x:c r="J34" s="16" t="str">
        <x:v>Review prescreen and apply on Backstage if March 2027 dates and US work segment are feasible</x:v>
      </x:c>
      <x:c r="K34" s="25"/>
      <x:c r="L34" s="25"/>
      <x:c r="M34" s="24"/>
      <x:c r="N34" s="16" t="str">
        <x:v>Paid</x:v>
      </x:c>
      <x:c r="O34" s="19" t="n">
        <x:v>800</x:v>
      </x:c>
      <x:c r="P34" s="16" t="str">
        <x:v>US$800 flat; estimated 5 days</x:v>
      </x:c>
      <x:c r="Q34" s="16" t="str">
        <x:v>Vancouver BC and Goldendale WA</x:v>
      </x:c>
      <x:c r="R34" s="17"/>
      <x:c r="S34" s="17"/>
      <x:c r="T34" s="16"/>
      <x:c r="U34" s="16" t="str">
        <x:f>IF(R34="","Dates unknown",IF(R34&gt;=Overview!$B$5,"After departure",IF(S34="","End unknown",IF(S34&gt;=Overview!$B$5,"Overlaps departure","Before departure"))))</x:f>
        <x:v>Dates unknown</x:v>
      </x:c>
      <x:c r="V34" s="16" t="str">
        <x:v>Supporting male 20–28; Vancouver local required. US shoot/work eligibility unverified.</x:v>
      </x:c>
      <x:c r="W34" s="16" t="str">
        <x:v>Nonunion</x:v>
      </x:c>
      <x:c r="X34" s="16" t="str">
        <x:v>Backstage submission; extra details require member login</x:v>
      </x:c>
      <x:c r="Y34" s="16"/>
      <x:c r="Z34" s="16" t="str">
        <x:v>Backstage profile and three prescreen answers; exact materials behind login</x:v>
      </x:c>
      <x:c r="AA34" s="16" t="str">
        <x:v>Backstage / Lucky Mountain Media</x:v>
      </x:c>
      <x:c r="AB34" s="16"/>
      <x:c r="AC34" s="16" t="str">
        <x:v>https://www.backstage.com/casting/the-goldendale-slasher-3317601/timothy-butterman-5648005/</x:v>
      </x:c>
      <x:c r="AD34" s="16" t="str">
        <x:v>Backstage</x:v>
      </x:c>
      <x:c r="AE34" s="17" t="n">
        <x:v>46316</x:v>
      </x:c>
      <x:c r="AF34" s="16" t="str">
        <x:v>Public listing verified Oct 21; expires Oct 30 3pm, timezone unstated</x:v>
      </x:c>
      <x:c r="AG34" s="16" t="str">
        <x:v>Speaking supporting feature-film role; shoots March 2027</x:v>
      </x:c>
      <x:c r="AH34" s="16" t="str">
        <x:v>Exact March dates, US work authorization, prescreen instructions, travel costs</x:v>
      </x:c>
    </x:row>
    <x:row r="35">
      <x:c r="A35" s="16" t="str">
        <x:v>UNDERSEA-NEIL</x:v>
      </x:c>
      <x:c r="B35" s="24" t="str">
        <x:v>To do</x:v>
      </x:c>
      <x:c r="C35" s="24" t="str">
        <x:v>Review fit</x:v>
      </x:c>
      <x:c r="D35" s="16" t="str">
        <x:v>Voice acting</x:v>
      </x:c>
      <x:c r="E35" s="16" t="str">
        <x:v>Undersea</x:v>
      </x:c>
      <x:c r="F35" s="16" t="str">
        <x:v>Neil Patel</x:v>
      </x:c>
      <x:c r="G35" s="17" t="n">
        <x:v>46332</x:v>
      </x:c>
      <x:c r="H35" s="18" t="n">
        <x:f>IF(G35="","",INT(G35)-INT(Overview!$B$4))</x:f>
        <x:v>14</x:v>
      </x:c>
      <x:c r="I35" s="16" t="str">
        <x:f>IF(OR(B35="Passed",B35="Closed"),"No action",IF(OR(B35="Submitted",B35="Waitlisted",B35="Callback",B35="Booked"),IF(L35="","Track outcome",IF(L35&lt;=Overview!$B$4,"Follow up","Follow-up scheduled")),IF(G35="","Confirm deadline",IF(H35&lt;0,"Deadline passed",IF(H35=0,"Due today",IF(H35&lt;=3,"Due within 3 days","Open queue"))))))</x:f>
        <x:v>Open queue</x:v>
      </x:c>
      <x:c r="J35" s="16" t="str">
        <x:v>Review role detail and prepare voice sample; confirm recording setup and role-specific pay</x:v>
      </x:c>
      <x:c r="K35" s="25"/>
      <x:c r="L35" s="25"/>
      <x:c r="M35" s="24"/>
      <x:c r="N35" s="16" t="str">
        <x:v>Paid</x:v>
      </x:c>
      <x:c r="O35" s="19"/>
      <x:c r="P35" s="16" t="str">
        <x:v>Supporting roles described as US$200 flat for 2–3h; Neil rate not shown separately</x:v>
      </x:c>
      <x:c r="Q35" s="16" t="str">
        <x:v>Worldwide application; work-from-home role label</x:v>
      </x:c>
      <x:c r="R35" s="17"/>
      <x:c r="S35" s="17"/>
      <x:c r="T35" s="16"/>
      <x:c r="U35" s="16" t="str">
        <x:f>IF(R35="","Dates unknown",IF(R35&gt;=Overview!$B$5,"After departure",IF(S35="","End unknown",IF(S35&gt;=Overview!$B$5,"Overlaps departure","Before departure"))))</x:f>
        <x:v>Dates unknown</x:v>
      </x:c>
      <x:c r="V35" s="16" t="str">
        <x:v>Male voice 20–30; user age fit. Accent requirement must be checked.</x:v>
      </x:c>
      <x:c r="W35" s="16" t="str">
        <x:v>Nonunion</x:v>
      </x:c>
      <x:c r="X35" s="16" t="str">
        <x:v>Backstage; details behind membership</x:v>
      </x:c>
      <x:c r="Y35" s="16"/>
      <x:c r="Z35" s="16" t="str">
        <x:v>Voice sample/reel likely; exact requirements behind login</x:v>
      </x:c>
      <x:c r="AA35" s="16" t="str">
        <x:v>Backstage</x:v>
      </x:c>
      <x:c r="AB35" s="16"/>
      <x:c r="AC35" s="16" t="str">
        <x:v>https://www.backstage.com/casting/undersea-3317599/neil-patel-5657099/</x:v>
      </x:c>
      <x:c r="AD35" s="16" t="str">
        <x:v>Backstage</x:v>
      </x:c>
      <x:c r="AE35" s="17" t="n">
        <x:v>46316</x:v>
      </x:c>
      <x:c r="AF35" s="16" t="str">
        <x:v>Public project verified Oct 21; expires Nov 6 4pm, timezone unstated</x:v>
      </x:c>
      <x:c r="AG35" s="16" t="str">
        <x:v>Paid scripted audio drama</x:v>
      </x:c>
      <x:c r="AH35" s="16" t="str">
        <x:v>Exact Neil pay, accent, recording equipment, usage and submission instructions</x:v>
      </x:c>
    </x:row>
    <x:row r="36">
      <x:c r="A36" s="16" t="str">
        <x:v>PANTHEON-SARIEL</x:v>
      </x:c>
      <x:c r="B36" s="24" t="str">
        <x:v>To do</x:v>
      </x:c>
      <x:c r="C36" s="24" t="str">
        <x:v>Review fit</x:v>
      </x:c>
      <x:c r="D36" s="16" t="str">
        <x:v>Voice acting</x:v>
      </x:c>
      <x:c r="E36" s="16" t="str">
        <x:v>The North American Pantheon — Season 2</x:v>
      </x:c>
      <x:c r="F36" s="16" t="str">
        <x:v>Sariel</x:v>
      </x:c>
      <x:c r="G36" s="17" t="n">
        <x:v>46326</x:v>
      </x:c>
      <x:c r="H36" s="18" t="n">
        <x:f>IF(G36="","",INT(G36)-INT(Overview!$B$4))</x:f>
        <x:v>8</x:v>
      </x:c>
      <x:c r="I36" s="16" t="str">
        <x:f>IF(OR(B36="Passed",B36="Closed"),"No action",IF(OR(B36="Submitted",B36="Waitlisted",B36="Callback",B36="Booked"),IF(L36="","Track outcome",IF(L36&lt;=Overview!$B$4,"Follow up","Follow-up scheduled")),IF(G36="","Confirm deadline",IF(H36&lt;0,"Deadline passed",IF(H36=0,"Due today",IF(H36&lt;=3,"Due within 3 days","Open queue"))))))</x:f>
        <x:v>Open queue</x:v>
      </x:c>
      <x:c r="J36" s="16" t="str">
        <x:v>Read role detail and audition sides on Backstage; check accent/recording specs</x:v>
      </x:c>
      <x:c r="K36" s="25"/>
      <x:c r="L36" s="25"/>
      <x:c r="M36" s="24"/>
      <x:c r="N36" s="16" t="str">
        <x:v>Paid</x:v>
      </x:c>
      <x:c r="O36" s="19" t="n">
        <x:v>60</x:v>
      </x:c>
      <x:c r="P36" s="16" t="str">
        <x:v>US$60 flat, estimated 2h</x:v>
      </x:c>
      <x:c r="Q36" s="16" t="str">
        <x:v>Remote recording / worldwide</x:v>
      </x:c>
      <x:c r="R36" s="17" t="n">
        <x:v>46327</x:v>
      </x:c>
      <x:c r="S36" s="17"/>
      <x:c r="T36" s="16"/>
      <x:c r="U36" s="16" t="str">
        <x:f>IF(R36="","Dates unknown",IF(R36&gt;=Overview!$B$5,"After departure",IF(S36="","End unknown",IF(S36&gt;=Overview!$B$5,"Overlaps departure","Before departure"))))</x:f>
        <x:v>End unknown</x:v>
      </x:c>
      <x:c r="V36" s="16" t="str">
        <x:v>Male/gender-nonconforming voice 18–40; nonunion</x:v>
      </x:c>
      <x:c r="W36" s="16" t="str">
        <x:v>Nonunion</x:v>
      </x:c>
      <x:c r="X36" s="16" t="str">
        <x:v>Backstage remote voice audition; details behind membership</x:v>
      </x:c>
      <x:c r="Y36" s="16"/>
      <x:c r="Z36" s="16" t="str">
        <x:v>Exact sides and recording instructions behind login</x:v>
      </x:c>
      <x:c r="AA36" s="16" t="str">
        <x:v>Backstage</x:v>
      </x:c>
      <x:c r="AB36" s="16"/>
      <x:c r="AC36" s="16" t="str">
        <x:v>https://www.backstage.com/casting/the-north-american-pantheon-season-2-3311786/sariel-5642740/</x:v>
      </x:c>
      <x:c r="AD36" s="16" t="str">
        <x:v>Backstage</x:v>
      </x:c>
      <x:c r="AE36" s="17" t="n">
        <x:v>46316</x:v>
      </x:c>
      <x:c r="AF36" s="16" t="str">
        <x:v>Public listing verified Oct 21; expires Oct 31 4pm, timezone unstated</x:v>
      </x:c>
      <x:c r="AG36" s="16" t="str">
        <x:v>Horror podcast voice credit</x:v>
      </x:c>
      <x:c r="AH36" s="16" t="str">
        <x:v>Accent, recording requirements and usage</x:v>
      </x:c>
    </x:row>
    <x:row r="37">
      <x:c r="A37" s="16" t="str">
        <x:v>PANTHEON-GUNNAR</x:v>
      </x:c>
      <x:c r="B37" s="24" t="str">
        <x:v>To do</x:v>
      </x:c>
      <x:c r="C37" s="24" t="str">
        <x:v>Review fit</x:v>
      </x:c>
      <x:c r="D37" s="16" t="str">
        <x:v>Voice acting</x:v>
      </x:c>
      <x:c r="E37" s="16" t="str">
        <x:v>The North American Pantheon — Season 2</x:v>
      </x:c>
      <x:c r="F37" s="16" t="str">
        <x:v>Gunnar</x:v>
      </x:c>
      <x:c r="G37" s="17" t="n">
        <x:v>46326</x:v>
      </x:c>
      <x:c r="H37" s="18" t="n">
        <x:f>IF(G37="","",INT(G37)-INT(Overview!$B$4))</x:f>
        <x:v>8</x:v>
      </x:c>
      <x:c r="I37" s="16" t="str">
        <x:f>IF(OR(B37="Passed",B37="Closed"),"No action",IF(OR(B37="Submitted",B37="Waitlisted",B37="Callback",B37="Booked"),IF(L37="","Track outcome",IF(L37&lt;=Overview!$B$4,"Follow up","Follow-up scheduled")),IF(G37="","Confirm deadline",IF(H37&lt;0,"Deadline passed",IF(H37=0,"Due today",IF(H37&lt;=3,"Due within 3 days","Open queue"))))))</x:f>
        <x:v>Open queue</x:v>
      </x:c>
      <x:c r="J37" s="16" t="str">
        <x:v>Read role detail and audition sides on Backstage; check accent/recording specs</x:v>
      </x:c>
      <x:c r="K37" s="25"/>
      <x:c r="L37" s="25"/>
      <x:c r="M37" s="24"/>
      <x:c r="N37" s="16" t="str">
        <x:v>Paid</x:v>
      </x:c>
      <x:c r="O37" s="19" t="n">
        <x:v>60</x:v>
      </x:c>
      <x:c r="P37" s="16" t="str">
        <x:v>US$60 flat, estimated 2h</x:v>
      </x:c>
      <x:c r="Q37" s="16" t="str">
        <x:v>Remote recording / worldwide</x:v>
      </x:c>
      <x:c r="R37" s="17" t="n">
        <x:v>46327</x:v>
      </x:c>
      <x:c r="S37" s="17"/>
      <x:c r="T37" s="16"/>
      <x:c r="U37" s="16" t="str">
        <x:f>IF(R37="","Dates unknown",IF(R37&gt;=Overview!$B$5,"After departure",IF(S37="","End unknown",IF(S37&gt;=Overview!$B$5,"Overlaps departure","Before departure"))))</x:f>
        <x:v>End unknown</x:v>
      </x:c>
      <x:c r="V37" s="16" t="str">
        <x:v>Male voice 18–26; nonunion</x:v>
      </x:c>
      <x:c r="W37" s="16" t="str">
        <x:v>Nonunion</x:v>
      </x:c>
      <x:c r="X37" s="16" t="str">
        <x:v>Backstage remote voice audition; details behind membership</x:v>
      </x:c>
      <x:c r="Y37" s="16"/>
      <x:c r="Z37" s="16" t="str">
        <x:v>Exact sides and recording instructions behind login</x:v>
      </x:c>
      <x:c r="AA37" s="16" t="str">
        <x:v>Backstage</x:v>
      </x:c>
      <x:c r="AB37" s="16"/>
      <x:c r="AC37" s="16" t="str">
        <x:v>https://www.backstage.com/casting/the-north-american-pantheon-season-2-3311786/gunnar-5642764/</x:v>
      </x:c>
      <x:c r="AD37" s="16" t="str">
        <x:v>Backstage</x:v>
      </x:c>
      <x:c r="AE37" s="17" t="n">
        <x:v>46316</x:v>
      </x:c>
      <x:c r="AF37" s="16" t="str">
        <x:v>Public listing verified Oct 21; expires Oct 31 4pm, timezone unstated</x:v>
      </x:c>
      <x:c r="AG37" s="16" t="str">
        <x:v>Horror podcast voice credit</x:v>
      </x:c>
      <x:c r="AH37" s="16" t="str">
        <x:v>Accent, recording requirements and usage</x:v>
      </x:c>
    </x:row>
    <x:row r="38">
      <x:c r="A38" s="16" t="str">
        <x:v>PHOTOMATIC-VOICE</x:v>
      </x:c>
      <x:c r="B38" s="24" t="str">
        <x:v>Research needed</x:v>
      </x:c>
      <x:c r="C38" s="24" t="str">
        <x:v>Review fit</x:v>
      </x:c>
      <x:c r="D38" s="16" t="str">
        <x:v>Voice acting</x:v>
      </x:c>
      <x:c r="E38" s="16" t="str">
        <x:v>Photomatic</x:v>
      </x:c>
      <x:c r="F38" s="16" t="str">
        <x:v>Male voice roles — breakdown pending</x:v>
      </x:c>
      <x:c r="G38" s="17"/>
      <x:c r="H38" s="18" t="str">
        <x:f>IF(G38="","",INT(G38)-INT(Overview!$B$4))</x:f>
      </x:c>
      <x:c r="I38" s="16" t="str">
        <x:f>IF(OR(B38="Passed",B38="Closed"),"No action",IF(OR(B38="Submitted",B38="Waitlisted",B38="Callback",B38="Booked"),IF(L38="","Track outcome",IF(L38&lt;=Overview!$B$4,"Follow up","Follow-up scheduled")),IF(G38="","Confirm deadline",IF(H38&lt;0,"Deadline passed",IF(H38=0,"Due today",IF(H38&lt;=3,"Due within 3 days","Open queue"))))))</x:f>
        <x:v>Confirm deadline</x:v>
      </x:c>
      <x:c r="J38" s="16" t="str">
        <x:v>Review linked character/sides folder and confirm a suitable role and cutoff</x:v>
      </x:c>
      <x:c r="K38" s="25"/>
      <x:c r="L38" s="25"/>
      <x:c r="M38" s="24"/>
      <x:c r="N38" s="16" t="str">
        <x:v>Unpaid / volunteer</x:v>
      </x:c>
      <x:c r="O38" s="19"/>
      <x:c r="P38" s="16"/>
      <x:c r="Q38" s="16" t="str">
        <x:v>Comox Valley producer; recording mode to confirm</x:v>
      </x:c>
      <x:c r="R38" s="17"/>
      <x:c r="S38" s="17"/>
      <x:c r="T38" s="16"/>
      <x:c r="U38" s="16" t="str">
        <x:f>IF(R38="","Dates unknown",IF(R38&gt;=Overview!$B$5,"After departure",IF(S38="","End unknown",IF(S38&gt;=Overview!$B$5,"Overlaps departure","Before departure"))))</x:f>
        <x:v>Dates unknown</x:v>
      </x:c>
      <x:c r="V38" s="16" t="str">
        <x:v>All backgrounds invited; role-specific age/gender criteria not yet verified</x:v>
      </x:c>
      <x:c r="W38" s="16" t="str">
        <x:v>Non-union</x:v>
      </x:c>
      <x:c r="X38" s="16" t="str">
        <x:v>Audition information on producer website / linked folder</x:v>
      </x:c>
      <x:c r="Y38" s="16"/>
      <x:c r="Z38" s="16" t="str">
        <x:v>Audition sides in linked folder; exact submission method not yet verified</x:v>
      </x:c>
      <x:c r="AA38" s="16" t="str">
        <x:v>phlatsonmediahouse@gmail.com</x:v>
      </x:c>
      <x:c r="AB38" s="16"/>
      <x:c r="AC38" s="16" t="str">
        <x:v>https://www.facebook.com/groups/VIcasting/posts/28346531381710028/</x:v>
      </x:c>
      <x:c r="AD38" s="16" t="str">
        <x:v>Vancouver Island Casting Call — Maia Macpherson</x:v>
      </x:c>
      <x:c r="AE38" s="17" t="n">
        <x:v>46316</x:v>
      </x:c>
      <x:c r="AF38" s="16" t="str">
        <x:v>FB text and producer page reviewed Oct 21; role files not yet read</x:v>
      </x:c>
      <x:c r="AG38" s="16" t="str">
        <x:v>IMDb credit and high-quality reel recording promised</x:v>
      </x:c>
      <x:c r="AH38" s="16" t="str">
        <x:v>Specific roles, deadline, recording location, exact submission process</x:v>
      </x:c>
    </x:row>
    <x:row r="39">
      <x:c r="A39" s="16" t="str">
        <x:v>THE-ROOM-CREW</x:v>
      </x:c>
      <x:c r="B39" s="24" t="str">
        <x:v>To do</x:v>
      </x:c>
      <x:c r="C39" s="24" t="str">
        <x:v>Review fit</x:v>
      </x:c>
      <x:c r="D39" s="16" t="str">
        <x:v>DOP / camera / crew</x:v>
      </x:c>
      <x:c r="E39" s="16" t="str">
        <x:v>The Room</x:v>
      </x:c>
      <x:c r="F39" s="16" t="str">
        <x:v>BTS photographer / AC / PA</x:v>
      </x:c>
      <x:c r="G39" s="17"/>
      <x:c r="H39" s="18" t="str">
        <x:f>IF(G39="","",INT(G39)-INT(Overview!$B$4))</x:f>
      </x:c>
      <x:c r="I39" s="16" t="str">
        <x:f>IF(OR(B39="Passed",B39="Closed"),"No action",IF(OR(B39="Submitted",B39="Waitlisted",B39="Callback",B39="Booked"),IF(L39="","Track outcome",IF(L39&lt;=Overview!$B$4,"Follow up","Follow-up scheduled")),IF(G39="","Confirm deadline",IF(H39&lt;0,"Deadline passed",IF(H39=0,"Due today",IF(H39&lt;=3,"Due within 3 days","Open queue"))))))</x:f>
        <x:v>Confirm deadline</x:v>
      </x:c>
      <x:c r="J39" s="16" t="str">
        <x:v>Email preferred crew position if schedule allows; confirm portfolio and equipment terms</x:v>
      </x:c>
      <x:c r="K39" s="25"/>
      <x:c r="L39" s="25"/>
      <x:c r="M39" s="24"/>
      <x:c r="N39" s="16" t="str">
        <x:v>Unpaid / volunteer</x:v>
      </x:c>
      <x:c r="O39" s="19"/>
      <x:c r="P39" s="16"/>
      <x:c r="Q39" s="16" t="str">
        <x:v>Langley / Walnut Grove</x:v>
      </x:c>
      <x:c r="R39" s="17" t="n">
        <x:v>46346</x:v>
      </x:c>
      <x:c r="S39" s="17" t="n">
        <x:v>46348</x:v>
      </x:c>
      <x:c r="T39" s="16"/>
      <x:c r="U39" s="16" t="str">
        <x:f>IF(R39="","Dates unknown",IF(R39&gt;=Overview!$B$5,"After departure",IF(S39="","End unknown",IF(S39&gt;=Overview!$B$5,"Overlaps departure","Before departure"))))</x:f>
        <x:v>Before departure</x:v>
      </x:c>
      <x:c r="V39" s="16" t="str">
        <x:v>Crew position-specific experience not specified</x:v>
      </x:c>
      <x:c r="W39" s="16" t="str">
        <x:v>Not stated</x:v>
      </x:c>
      <x:c r="X39" s="16" t="str">
        <x:v>Email expression of interest</x:v>
      </x:c>
      <x:c r="Y39" s="16"/>
      <x:c r="Z39" s="16" t="str">
        <x:v>Email introduction and relevant work samples; exact materials not specified</x:v>
      </x:c>
      <x:c r="AA39" s="16" t="str">
        <x:v>theroom@cascadedigital.studio</x:v>
      </x:c>
      <x:c r="AB39" s="16" t="str">
        <x:v>THE ROOM - CAST CALL **POSITION**</x:v>
      </x:c>
      <x:c r="AC39" s="16" t="str">
        <x:v>https://www.facebook.com/groups/23366837344/posts/10166489256757345/</x:v>
      </x:c>
      <x:c r="AD39" s="16" t="str">
        <x:v>Vancouver Independent Film Crew — Luca Paniccia</x:v>
      </x:c>
      <x:c r="AE39" s="17" t="n">
        <x:v>46316</x:v>
      </x:c>
      <x:c r="AF39" s="16" t="str">
        <x:v>Full post reviewed Oct 21; no cutoff published</x:v>
      </x:c>
      <x:c r="AG39" s="16" t="str">
        <x:v>Short-film set experience; credits and meals promised</x:v>
      </x:c>
      <x:c r="AH39" s="16" t="str">
        <x:v>Deadline, call hours, equipment, photo/reel rights</x:v>
      </x:c>
    </x:row>
    <x:row r="40">
      <x:c r="A40" s="16" t="str">
        <x:v>SPENCER-THRILLER</x:v>
      </x:c>
      <x:c r="B40" s="24" t="str">
        <x:v>Research needed</x:v>
      </x:c>
      <x:c r="C40" s="24" t="str">
        <x:v>High</x:v>
      </x:c>
      <x:c r="D40" s="16" t="str">
        <x:v>Acting - film / TV</x:v>
      </x:c>
      <x:c r="E40" s="16" t="str">
        <x:v>Untitled short thriller</x:v>
      </x:c>
      <x:c r="F40" s="16" t="str">
        <x:v>Spencer</x:v>
      </x:c>
      <x:c r="G40" s="17"/>
      <x:c r="H40" s="18" t="str">
        <x:f>IF(G40="","",INT(G40)-INT(Overview!$B$4))</x:f>
      </x:c>
      <x:c r="I40" s="16" t="str">
        <x:f>IF(OR(B40="Passed",B40="Closed"),"No action",IF(OR(B40="Submitted",B40="Waitlisted",B40="Callback",B40="Booked"),IF(L40="","Track outcome",IF(L40&lt;=Overview!$B$4,"Follow up","Follow-up scheduled")),IF(G40="","Confirm deadline",IF(H40&lt;0,"Deadline passed",IF(H40=0,"Due today",IF(H40&lt;=3,"Due within 3 days","Open queue"))))))</x:f>
        <x:v>Confirm deadline</x:v>
      </x:c>
      <x:c r="J40" s="16" t="str">
        <x:v>Ask poster for shoot date, casting cutoff and application details; post requests DM</x:v>
      </x:c>
      <x:c r="K40" s="25"/>
      <x:c r="L40" s="25"/>
      <x:c r="M40" s="24"/>
      <x:c r="N40" s="16" t="str">
        <x:v>Paid</x:v>
      </x:c>
      <x:c r="O40" s="19" t="str">
        <x:v>CAD 25</x:v>
      </x:c>
      <x:c r="P40" s="16" t="str">
        <x:v>30–60 min shoot; clarify travel/time</x:v>
      </x:c>
      <x:c r="Q40" s="16" t="str">
        <x:v>Burnaby / Vancouver</x:v>
      </x:c>
      <x:c r="R40" s="17"/>
      <x:c r="S40" s="17"/>
      <x:c r="T40" s="16" t="str">
        <x:v>Shoot date unstated</x:v>
      </x:c>
      <x:c r="U40" s="16" t="str">
        <x:f>IF(R40="","Dates unknown",IF(R40&gt;=Overview!$B$5,"After departure",IF(S40="","End unknown",IF(S40&gt;=Overview!$B$5,"Overlaps departure","Before departure"))))</x:f>
        <x:v>Dates unknown</x:v>
      </x:c>
      <x:c r="V40" s="16" t="str">
        <x:v>Male early 20s; any ethnicity not stated; no dialogue; user age 23 fits</x:v>
      </x:c>
      <x:c r="W40" s="16" t="str">
        <x:v>Not stated</x:v>
      </x:c>
      <x:c r="X40" s="16" t="str">
        <x:v>DM expression of interest; audition format unstated</x:v>
      </x:c>
      <x:c r="Y40" s="16"/>
      <x:c r="Z40" s="16" t="str">
        <x:v>Ask what headshot, resume or reel is required</x:v>
      </x:c>
      <x:c r="AA40" s="16" t="str">
        <x:v>Nand Sai Sharan Koppisetti via Facebook post DM</x:v>
      </x:c>
      <x:c r="AB40" s="16"/>
      <x:c r="AC40" s="16" t="str">
        <x:v>https://www.facebook.com/groups/272268773737408/posts/1884357975861805</x:v>
      </x:c>
      <x:c r="AD40" s="16" t="str">
        <x:v>VANCOUVER CASTING GIGS &amp; JOBS - PAID ONLY-</x:v>
      </x:c>
      <x:c r="AE40" s="17" t="d">
        <x:v>2026-10-23T12:00:00.000Z</x:v>
      </x:c>
      <x:c r="AF40" s="16" t="str">
        <x:v>Post visible Oct 23; deadline and shoot date not published; reconfirm availability</x:v>
      </x:c>
      <x:c r="AG40" s="16" t="str">
        <x:v>Short thriller footage promised; usage/credit unconfirmed</x:v>
      </x:c>
      <x:c r="AH40" s="16" t="str">
        <x:v>Deadline, shoot date, submission materials, pay basis, footage rights</x:v>
      </x:c>
    </x:row>
    <x:row r="41">
      <x:c r="A41" s="16" t="str">
        <x:v>DOGS-FELIX</x:v>
      </x:c>
      <x:c r="B41" s="24" t="str">
        <x:v>To do</x:v>
      </x:c>
      <x:c r="C41" s="24" t="str">
        <x:v>High</x:v>
      </x:c>
      <x:c r="D41" s="16" t="str">
        <x:v>Acting - film / TV</x:v>
      </x:c>
      <x:c r="E41" s="16" t="str">
        <x:v>DOGS</x:v>
      </x:c>
      <x:c r="F41" s="16" t="str">
        <x:v>Felix</x:v>
      </x:c>
      <x:c r="G41" s="17" t="d">
        <x:v>2026-11-21T12:00:00.000Z</x:v>
      </x:c>
      <x:c r="H41" s="18" t="n">
        <x:f>IF(G41="","",INT(G41)-INT(Overview!$B$4))</x:f>
        <x:v>29</x:v>
      </x:c>
      <x:c r="I41" s="16" t="str">
        <x:f>IF(OR(B41="Passed",B41="Closed"),"No action",IF(OR(B41="Submitted",B41="Waitlisted",B41="Callback",B41="Booked"),IF(L41="","Track outcome",IF(L41&lt;=Overview!$B$4,"Follow up","Follow-up scheduled")),IF(G41="","Confirm deadline",IF(H41&lt;0,"Deadline passed",IF(H41=0,"Due today",IF(H41&lt;=3,"Due within 3 days","Open queue"))))))</x:f>
        <x:v>Open queue</x:v>
      </x:c>
      <x:c r="J41" s="16" t="str">
        <x:v>Submit headshot, resume/bio and 1–2 minute self-tape to production email; confirm January availability</x:v>
      </x:c>
      <x:c r="K41" s="25"/>
      <x:c r="L41" s="25"/>
      <x:c r="M41" s="24"/>
      <x:c r="N41" s="16" t="str">
        <x:v>Paid</x:v>
      </x:c>
      <x:c r="O41" s="19"/>
      <x:c r="P41" s="16" t="str">
        <x:v>Rate varies by role; ask exact amount</x:v>
      </x:c>
      <x:c r="Q41" s="16" t="str">
        <x:v>Vancouver</x:v>
      </x:c>
      <x:c r="R41" s="17" t="d">
        <x:v>2027-01-01T12:00:00.000Z</x:v>
      </x:c>
      <x:c r="S41" s="17"/>
      <x:c r="T41" s="16" t="str">
        <x:v>Three shoot days in January 2027; exact dates TBC</x:v>
      </x:c>
      <x:c r="U41" s="16" t="str">
        <x:f>IF(R41="","Dates unknown",IF(R41&gt;=Overview!$B$5,"After departure",IF(S41="","End unknown",IF(S41&gt;=Overview!$B$5,"Overlaps departure","Before departure"))))</x:f>
        <x:v>After departure</x:v>
      </x:c>
      <x:c r="V41" s="16" t="str">
        <x:v>Male-identifying, playing 16, any ethnicity; actors 18+ permitted; user age 23</x:v>
      </x:c>
      <x:c r="W41" s="16" t="str">
        <x:v>Not stated</x:v>
      </x:c>
      <x:c r="X41" s="16" t="str">
        <x:v>Self-tape / video audition</x:v>
      </x:c>
      <x:c r="Y41" s="16" t="d">
        <x:v>2026-11-28T12:00:00.000Z</x:v>
      </x:c>
      <x:c r="Z41" s="16" t="str">
        <x:v>Current headshot; resume/bio; 1–2 minute self-tape slate age 23, height, location, skating level if applicable, prior experience, January availability</x:v>
      </x:c>
      <x:c r="AA41" s="16" t="str">
        <x:v>production@latincanada.com</x:v>
      </x:c>
      <x:c r="AB41" s="16" t="str">
        <x:v>FELIX – Farhan Naushad</x:v>
      </x:c>
      <x:c r="AC41" s="16" t="str">
        <x:v>https://www.facebook.com/groups/272268773737408/posts/1884288392535430</x:v>
      </x:c>
      <x:c r="AD41" s="16" t="str">
        <x:v>Paid Only; cross-post Actors in Vancouver</x:v>
      </x:c>
      <x:c r="AE41" s="17" t="d">
        <x:v>2026-10-23T12:00:00.000Z</x:v>
      </x:c>
      <x:c r="AF41" s="16" t="str">
        <x:v>Full Oct 23 post reviewed; deadline Nov 21, time zone/time unstated; audition Nov 28</x:v>
      </x:c>
      <x:c r="AG41" s="16" t="str">
        <x:v>Paid comedy film role; mature themes and prop gun/sound; no nudity</x:v>
      </x:c>
      <x:c r="AH41" s="16" t="str">
        <x:v>Exact rate, January shoot dates, current travel availability, self-tape scene/sides</x:v>
      </x:c>
    </x:row>
    <x:row r="42">
      <x:c r="A42" s="16" t="str">
        <x:v>PODCAST-HARJEET-VIDEO</x:v>
      </x:c>
      <x:c r="B42" s="24" t="str">
        <x:v>Research needed</x:v>
      </x:c>
      <x:c r="C42" s="24" t="str">
        <x:v>Review fit</x:v>
      </x:c>
      <x:c r="D42" s="16" t="str">
        <x:v>Videography / editing</x:v>
      </x:c>
      <x:c r="E42" s="16" t="str">
        <x:v>Metro Vancouver podcast series</x:v>
      </x:c>
      <x:c r="F42" s="16" t="str">
        <x:v>Freelance videographer / editor</x:v>
      </x:c>
      <x:c r="G42" s="17"/>
      <x:c r="H42" s="18" t="str">
        <x:f>IF(G42="","",INT(G42)-INT(Overview!$B$4))</x:f>
      </x:c>
      <x:c r="I42" s="16" t="str">
        <x:f>IF(OR(B42="Passed",B42="Closed"),"No action",IF(OR(B42="Submitted",B42="Waitlisted",B42="Callback",B42="Booked"),IF(L42="","Track outcome",IF(L42&lt;=Overview!$B$4,"Follow up","Follow-up scheduled")),IF(G42="","Confirm deadline",IF(H42&lt;0,"Deadline passed",IF(H42=0,"Due today",IF(H42&lt;=3,"Due within 3 days","Open queue"))))))</x:f>
        <x:v>Confirm deadline</x:v>
      </x:c>
      <x:c r="J42" s="16" t="str">
        <x:v>Confirm rates, dates, multicamera gear requirements and whether 9-to-5 schedule works</x:v>
      </x:c>
      <x:c r="K42" s="25"/>
      <x:c r="L42" s="25"/>
      <x:c r="M42" s="24"/>
      <x:c r="N42" s="16" t="str">
        <x:v>Paid</x:v>
      </x:c>
      <x:c r="O42" s="19"/>
      <x:c r="P42" s="16" t="str">
        <x:v>Multi-episode project; negotiate rate</x:v>
      </x:c>
      <x:c r="Q42" s="16" t="str">
        <x:v>Metro Vancouver</x:v>
      </x:c>
      <x:c r="R42" s="17"/>
      <x:c r="S42" s="17"/>
      <x:c r="T42" s="16" t="str">
        <x:v>Initial multi-episode, possibly ongoing; exact dates unknown</x:v>
      </x:c>
      <x:c r="U42" s="16" t="str">
        <x:f>IF(R42="","Dates unknown",IF(R42&gt;=Overview!$B$5,"After departure",IF(S42="","End unknown",IF(S42&gt;=Overview!$B$5,"Overlaps departure","Before departure"))))</x:f>
        <x:v>Dates unknown</x:v>
      </x:c>
      <x:c r="V42" s="16" t="str">
        <x:v>Multicamera filming, lighting, sound, troubleshooting, full edits and social clips; FX30 owned but multi-camera gear not confirmed</x:v>
      </x:c>
      <x:c r="W42" s="16" t="str">
        <x:v>Not stated</x:v>
      </x:c>
      <x:c r="X42" s="16" t="str">
        <x:v>DM portfolio, gear, rates, availability; no audition stated</x:v>
      </x:c>
      <x:c r="Y42" s="16"/>
      <x:c r="Z42" s="16" t="str">
        <x:v>Portfolio, available equipment, rates and availability</x:v>
      </x:c>
      <x:c r="AA42" s="16" t="str">
        <x:v>Harjeet Kaur Gill via Facebook post DM</x:v>
      </x:c>
      <x:c r="AB42" s="16"/>
      <x:c r="AC42" s="16" t="str">
        <x:v>https://www.facebook.com/groups/23366837344/posts/10166497337517345</x:v>
      </x:c>
      <x:c r="AD42" s="16" t="str">
        <x:v>Vancouver Independent Film Crew</x:v>
      </x:c>
      <x:c r="AE42" s="17" t="d">
        <x:v>2026-10-23T12:00:00.000Z</x:v>
      </x:c>
      <x:c r="AF42" s="16" t="str">
        <x:v>Post visible Oct 23; deadline and schedule unpublished</x:v>
      </x:c>
      <x:c r="AG42" s="16" t="str">
        <x:v>Podcast videography/editing and social deliverables; rights unclear</x:v>
      </x:c>
      <x:c r="AH42" s="16" t="str">
        <x:v>Pay, deadline, dates, number of cameras, supplied gear, deliverables and rights</x:v>
      </x:c>
    </x:row>
    <x:row r="43">
      <x:c r="A43" s="16" t="str">
        <x:v>JOHNSON-KENNY</x:v>
      </x:c>
      <x:c r="B43" s="24" t="str">
        <x:v>Research needed</x:v>
      </x:c>
      <x:c r="C43" s="24" t="str">
        <x:v>Review fit</x:v>
      </x:c>
      <x:c r="D43" s="16" t="str">
        <x:v>Acting - film / TV</x:v>
      </x:c>
      <x:c r="E43" s="16" t="str">
        <x:v>Johnson Paranormal</x:v>
      </x:c>
      <x:c r="F43" s="16" t="str">
        <x:v>Kenny</x:v>
      </x:c>
      <x:c r="G43" s="17" t="d">
        <x:v>2026-11-04T12:00:00.000Z</x:v>
      </x:c>
      <x:c r="H43" s="18" t="n">
        <x:f>IF(G43="","",INT(G43)-INT(Overview!$B$4))</x:f>
        <x:v>12</x:v>
      </x:c>
      <x:c r="I43" s="16" t="str">
        <x:f>IF(OR(B43="Passed",B43="Closed"),"No action",IF(OR(B43="Submitted",B43="Waitlisted",B43="Callback",B43="Booked"),IF(L43="","Track outcome",IF(L43&lt;=Overview!$B$4,"Follow up","Follow-up scheduled")),IF(G43="","Confirm deadline",IF(H43&lt;0,"Deadline passed",IF(H43=0,"Due today",IF(H43&lt;=3,"Due within 3 days","Open queue"))))))</x:f>
        <x:v>Open queue</x:v>
      </x:c>
      <x:c r="J43" s="16" t="str">
        <x:v>Confirm 23-year-old can submit for 24–38 playing range and whether reel is mandatory</x:v>
      </x:c>
      <x:c r="K43" s="25"/>
      <x:c r="L43" s="25"/>
      <x:c r="M43" s="24"/>
      <x:c r="N43" s="16" t="str">
        <x:v>Paid</x:v>
      </x:c>
      <x:c r="O43" s="19" t="str">
        <x:v>CAD 200/day</x:v>
      </x:c>
      <x:c r="P43" s="16" t="str">
        <x:v>Four shoot days estimated</x:v>
      </x:c>
      <x:c r="Q43" s="16" t="str">
        <x:v>New Westminster / Maple Ridge</x:v>
      </x:c>
      <x:c r="R43" s="17" t="d">
        <x:v>2026-11-19T12:00:00.000Z</x:v>
      </x:c>
      <x:c r="S43" s="17" t="d">
        <x:v>2026-11-22T12:00:00.000Z</x:v>
      </x:c>
      <x:c r="T43" s="16" t="str">
        <x:v>Nov 19–22</x:v>
      </x:c>
      <x:c r="U43" s="16" t="str">
        <x:f>IF(R43="","Dates unknown",IF(R43&gt;=Overview!$B$5,"After departure",IF(S43="","End unknown",IF(S43&gt;=Overview!$B$5,"Overlaps departure","Before departure"))))</x:f>
        <x:v>Before departure</x:v>
      </x:c>
      <x:c r="V43" s="16" t="str">
        <x:v>Male 24–38, any ethnicity; physical comedy and improv; user 23 actual, playing age may fit</x:v>
      </x:c>
      <x:c r="W43" s="16" t="str">
        <x:v>Union and nonunion</x:v>
      </x:c>
      <x:c r="X43" s="16" t="str">
        <x:v>Backstage application; audition format not public</x:v>
      </x:c>
      <x:c r="Y43" s="16"/>
      <x:c r="Z43" s="16" t="str">
        <x:v>Headshot/photo, video reel, resume listed as required; user lacks demo reel</x:v>
      </x:c>
      <x:c r="AA43" s="16" t="str">
        <x:v>Apply via Backstage</x:v>
      </x:c>
      <x:c r="AB43" s="16"/>
      <x:c r="AC43" s="16" t="str">
        <x:v>https://www.backstage.com/casting/johnson-paranormal-3326237/kenny-5660809/</x:v>
      </x:c>
      <x:c r="AD43" s="16" t="str">
        <x:v>Backstage public listing</x:v>
      </x:c>
      <x:c r="AE43" s="17" t="d">
        <x:v>2026-10-23T12:00:00.000Z</x:v>
      </x:c>
      <x:c r="AF43" s="16" t="str">
        <x:v>Direct role page reviewed Oct 23; expires Nov 4 at 4 p.m., time zone unstated</x:v>
      </x:c>
      <x:c r="AG43" s="16" t="str">
        <x:v>Paid horror-comedy web-series lead</x:v>
      </x:c>
      <x:c r="AH43" s="16" t="str">
        <x:v>Age eligibility, reel substitute, audition format, application access</x:v>
      </x:c>
    </x:row>
    <x:row r="44">
      <x:c r="A44" s="16" t="str">
        <x:v>JOHNSON-JUSTIN</x:v>
      </x:c>
      <x:c r="B44" s="24" t="str">
        <x:v>Research needed</x:v>
      </x:c>
      <x:c r="C44" s="24" t="str">
        <x:v>Review fit</x:v>
      </x:c>
      <x:c r="D44" s="16" t="str">
        <x:v>Acting - film / TV</x:v>
      </x:c>
      <x:c r="E44" s="16" t="str">
        <x:v>Johnson Paranormal</x:v>
      </x:c>
      <x:c r="F44" s="16" t="str">
        <x:v>Justin</x:v>
      </x:c>
      <x:c r="G44" s="17" t="d">
        <x:v>2026-11-04T12:00:00.000Z</x:v>
      </x:c>
      <x:c r="H44" s="18" t="n">
        <x:f>IF(G44="","",INT(G44)-INT(Overview!$B$4))</x:f>
        <x:v>12</x:v>
      </x:c>
      <x:c r="I44" s="16" t="str">
        <x:f>IF(OR(B44="Passed",B44="Closed"),"No action",IF(OR(B44="Submitted",B44="Waitlisted",B44="Callback",B44="Booked"),IF(L44="","Track outcome",IF(L44&lt;=Overview!$B$4,"Follow up","Follow-up scheduled")),IF(G44="","Confirm deadline",IF(H44&lt;0,"Deadline passed",IF(H44=0,"Due today",IF(H44&lt;=3,"Due within 3 days","Open queue"))))))</x:f>
        <x:v>Open queue</x:v>
      </x:c>
      <x:c r="J44" s="16" t="str">
        <x:v>Confirm age eligibility and reel substitute before applying</x:v>
      </x:c>
      <x:c r="K44" s="25"/>
      <x:c r="L44" s="25"/>
      <x:c r="M44" s="24"/>
      <x:c r="N44" s="16" t="str">
        <x:v>Paid</x:v>
      </x:c>
      <x:c r="O44" s="19" t="str">
        <x:v>CAD 200/day</x:v>
      </x:c>
      <x:c r="P44" s="16" t="str">
        <x:v>Four shoot days estimated</x:v>
      </x:c>
      <x:c r="Q44" s="16" t="str">
        <x:v>New Westminster / Maple Ridge</x:v>
      </x:c>
      <x:c r="R44" s="17" t="d">
        <x:v>2026-11-19T12:00:00.000Z</x:v>
      </x:c>
      <x:c r="S44" s="17" t="d">
        <x:v>2026-11-22T12:00:00.000Z</x:v>
      </x:c>
      <x:c r="T44" s="16" t="str">
        <x:v>Nov 19–22</x:v>
      </x:c>
      <x:c r="U44" s="16" t="str">
        <x:f>IF(R44="","Dates unknown",IF(R44&gt;=Overview!$B$5,"After departure",IF(S44="","End unknown",IF(S44&gt;=Overview!$B$5,"Overlaps departure","Before departure"))))</x:f>
        <x:v>Before departure</x:v>
      </x:c>
      <x:c r="V44" s="16" t="str">
        <x:v>Male 25–39, any ethnicity; comedic IT-whiz character; user 23 actual, playing age may fit</x:v>
      </x:c>
      <x:c r="W44" s="16" t="str">
        <x:v>Union and nonunion</x:v>
      </x:c>
      <x:c r="X44" s="16" t="str">
        <x:v>Backstage application; audition format not public</x:v>
      </x:c>
      <x:c r="Y44" s="16"/>
      <x:c r="Z44" s="16" t="str">
        <x:v>Headshot/photo, video reel, resume listed as required; user lacks demo reel</x:v>
      </x:c>
      <x:c r="AA44" s="16" t="str">
        <x:v>Apply via Backstage</x:v>
      </x:c>
      <x:c r="AB44" s="16"/>
      <x:c r="AC44" s="16" t="str">
        <x:v>https://www.backstage.com/casting/johnson-paranormal-3326237/justin-5660810/</x:v>
      </x:c>
      <x:c r="AD44" s="16" t="str">
        <x:v>Backstage public listing</x:v>
      </x:c>
      <x:c r="AE44" s="17" t="d">
        <x:v>2026-10-23T12:00:00.000Z</x:v>
      </x:c>
      <x:c r="AF44" s="16" t="str">
        <x:v>Direct role page reviewed Oct 23; expires Nov 4 at 4 p.m., time zone unstated</x:v>
      </x:c>
      <x:c r="AG44" s="16" t="str">
        <x:v>Paid horror-comedy web-series lead</x:v>
      </x:c>
      <x:c r="AH44" s="16" t="str">
        <x:v>Age eligibility, reel substitute, audition format, application access</x:v>
      </x:c>
    </x:row>
    <x:row r="45">
      <x:c r="A45" s="16" t="str">
        <x:v>SUPREME-TRISTAN</x:v>
      </x:c>
      <x:c r="B45" s="24" t="str">
        <x:v>To do</x:v>
      </x:c>
      <x:c r="C45" s="24" t="str">
        <x:v>Review fit</x:v>
      </x:c>
      <x:c r="D45" s="16" t="str">
        <x:v>Acting - student film</x:v>
      </x:c>
      <x:c r="E45" s="16" t="str">
        <x:v>Supreme</x:v>
      </x:c>
      <x:c r="F45" s="16" t="str">
        <x:v>Tristan</x:v>
      </x:c>
      <x:c r="G45" s="17" t="d">
        <x:v>2026-11-14T12:00:00.000Z</x:v>
      </x:c>
      <x:c r="H45" s="18" t="n">
        <x:f>IF(G45="","",INT(G45)-INT(Overview!$B$4))</x:f>
        <x:v>22</x:v>
      </x:c>
      <x:c r="I45" s="16" t="str">
        <x:f>IF(OR(B45="Passed",B45="Closed"),"No action",IF(OR(B45="Submitted",B45="Waitlisted",B45="Callback",B45="Booked"),IF(L45="","Track outcome",IF(L45&lt;=Overview!$B$4,"Follow up","Follow-up scheduled")),IF(G45="","Confirm deadline",IF(H45&lt;0,"Deadline passed",IF(H45=0,"Due today",IF(H45&lt;=3,"Due within 3 days","Open queue"))))))</x:f>
        <x:v>Open queue</x:v>
      </x:c>
      <x:c r="J45" s="16" t="str">
        <x:v>Review full Backstage application and submit if playing late 20s is credible</x:v>
      </x:c>
      <x:c r="K45" s="25"/>
      <x:c r="L45" s="25"/>
      <x:c r="M45" s="24"/>
      <x:c r="N45" s="16" t="str">
        <x:v>Unpaid / volunteer</x:v>
      </x:c>
      <x:c r="O45" s="19"/>
      <x:c r="P45" s="16" t="str">
        <x:v>Meals/accommodations listed</x:v>
      </x:c>
      <x:c r="Q45" s="16" t="str">
        <x:v>Vancouver</x:v>
      </x:c>
      <x:c r="R45" s="17" t="d">
        <x:v>2026-11-19T12:00:00.000Z</x:v>
      </x:c>
      <x:c r="S45" s="17" t="d">
        <x:v>2026-11-19T12:00:00.000Z</x:v>
      </x:c>
      <x:c r="T45" s="16" t="str">
        <x:v>Nov 19 shoot</x:v>
      </x:c>
      <x:c r="U45" s="16" t="str">
        <x:f>IF(R45="","Dates unknown",IF(R45&gt;=Overview!$B$5,"After departure",IF(S45="","End unknown",IF(S45&gt;=Overview!$B$5,"Overlaps departure","Before departure"))))</x:f>
        <x:v>Before departure</x:v>
      </x:c>
      <x:c r="V45" s="16" t="str">
        <x:v>Male 18–35; troubled, immature character written late 20s; user 23 can play up</x:v>
      </x:c>
      <x:c r="W45" s="16" t="str">
        <x:v>Nonunion</x:v>
      </x:c>
      <x:c r="X45" s="16" t="str">
        <x:v>Backstage application; audition format not public</x:v>
      </x:c>
      <x:c r="Y45" s="16"/>
      <x:c r="Z45" s="16" t="str">
        <x:v>Check application requirements on Backstage</x:v>
      </x:c>
      <x:c r="AA45" s="16" t="str">
        <x:v>Apply via Backstage</x:v>
      </x:c>
      <x:c r="AB45" s="16"/>
      <x:c r="AC45" s="16" t="str">
        <x:v>https://www.backstage.com/casting/supreme-3323373/tristan-5663355/</x:v>
      </x:c>
      <x:c r="AD45" s="16" t="str">
        <x:v>Backstage public listing</x:v>
      </x:c>
      <x:c r="AE45" s="17" t="d">
        <x:v>2026-10-23T12:00:00.000Z</x:v>
      </x:c>
      <x:c r="AF45" s="16" t="str">
        <x:v>Direct listing reviewed Oct 23; expires Nov 14 4 p.m., time zone unstated</x:v>
      </x:c>
      <x:c r="AG45" s="16" t="str">
        <x:v>InFocus Film School lead; potential reel footage/credit must be confirmed</x:v>
      </x:c>
      <x:c r="AH45" s="16" t="str">
        <x:v>Audition format, materials, footage/credit terms</x:v>
      </x:c>
    </x:row>
    <x:row r="46">
      <x:c r="A46" s="16" t="str">
        <x:v>SUPREME-TREVOR</x:v>
      </x:c>
      <x:c r="B46" s="24" t="str">
        <x:v>To do</x:v>
      </x:c>
      <x:c r="C46" s="24" t="str">
        <x:v>Review fit</x:v>
      </x:c>
      <x:c r="D46" s="16" t="str">
        <x:v>Acting - student film</x:v>
      </x:c>
      <x:c r="E46" s="16" t="str">
        <x:v>Supreme</x:v>
      </x:c>
      <x:c r="F46" s="16" t="str">
        <x:v>Trevor</x:v>
      </x:c>
      <x:c r="G46" s="17" t="d">
        <x:v>2026-11-14T12:00:00.000Z</x:v>
      </x:c>
      <x:c r="H46" s="18" t="n">
        <x:f>IF(G46="","",INT(G46)-INT(Overview!$B$4))</x:f>
        <x:v>22</x:v>
      </x:c>
      <x:c r="I46" s="16" t="str">
        <x:f>IF(OR(B46="Passed",B46="Closed"),"No action",IF(OR(B46="Submitted",B46="Waitlisted",B46="Callback",B46="Booked"),IF(L46="","Track outcome",IF(L46&lt;=Overview!$B$4,"Follow up","Follow-up scheduled")),IF(G46="","Confirm deadline",IF(H46&lt;0,"Deadline passed",IF(H46=0,"Due today",IF(H46&lt;=3,"Due within 3 days","Open queue"))))))</x:f>
        <x:v>Open queue</x:v>
      </x:c>
      <x:c r="J46" s="16" t="str">
        <x:v>Review full Backstage application and submit if playing late 20s is credible</x:v>
      </x:c>
      <x:c r="K46" s="25"/>
      <x:c r="L46" s="25"/>
      <x:c r="M46" s="24"/>
      <x:c r="N46" s="16" t="str">
        <x:v>Unpaid / volunteer</x:v>
      </x:c>
      <x:c r="O46" s="19"/>
      <x:c r="P46" s="16" t="str">
        <x:v>Meals/accommodations listed</x:v>
      </x:c>
      <x:c r="Q46" s="16" t="str">
        <x:v>Vancouver</x:v>
      </x:c>
      <x:c r="R46" s="17" t="d">
        <x:v>2026-11-19T12:00:00.000Z</x:v>
      </x:c>
      <x:c r="S46" s="17" t="d">
        <x:v>2026-11-19T12:00:00.000Z</x:v>
      </x:c>
      <x:c r="T46" s="16" t="str">
        <x:v>Nov 19 shoot</x:v>
      </x:c>
      <x:c r="U46" s="16" t="str">
        <x:f>IF(R46="","Dates unknown",IF(R46&gt;=Overview!$B$5,"After departure",IF(S46="","End unknown",IF(S46&gt;=Overview!$B$5,"Overlaps departure","Before departure"))))</x:f>
        <x:v>Before departure</x:v>
      </x:c>
      <x:c r="V46" s="16" t="str">
        <x:v>Male 18–35; intimidating young cop written late 20s; user 23 can play up</x:v>
      </x:c>
      <x:c r="W46" s="16" t="str">
        <x:v>Nonunion</x:v>
      </x:c>
      <x:c r="X46" s="16" t="str">
        <x:v>Backstage application; audition format not public</x:v>
      </x:c>
      <x:c r="Y46" s="16"/>
      <x:c r="Z46" s="16" t="str">
        <x:v>Check application requirements on Backstage</x:v>
      </x:c>
      <x:c r="AA46" s="16" t="str">
        <x:v>Apply via Backstage</x:v>
      </x:c>
      <x:c r="AB46" s="16"/>
      <x:c r="AC46" s="16" t="str">
        <x:v>https://www.backstage.com/casting/supreme-3323373/trevor-5663362/</x:v>
      </x:c>
      <x:c r="AD46" s="16" t="str">
        <x:v>Backstage public listing</x:v>
      </x:c>
      <x:c r="AE46" s="17" t="d">
        <x:v>2026-10-23T12:00:00.000Z</x:v>
      </x:c>
      <x:c r="AF46" s="16" t="str">
        <x:v>Direct listing reviewed Oct 23; expires Nov 14 4 p.m., time zone unstated</x:v>
      </x:c>
      <x:c r="AG46" s="16" t="str">
        <x:v>InFocus Film School lead; potential reel footage/credit must be confirmed</x:v>
      </x:c>
      <x:c r="AH46" s="16" t="str">
        <x:v>Audition format, materials, footage/credit terms</x:v>
      </x:c>
    </x:row>
    <x:row r="47">
      <x:c r="A47" s="16" t="str">
        <x:v>WAVES-ZOMBIE-BG</x:v>
      </x:c>
      <x:c r="B47" s="24" t="str">
        <x:v>Research needed</x:v>
      </x:c>
      <x:c r="C47" s="24" t="str">
        <x:v>Review fit</x:v>
      </x:c>
      <x:c r="D47" s="16" t="str">
        <x:v>Background / stand-in</x:v>
      </x:c>
      <x:c r="E47" s="16" t="str">
        <x:v>Waves Of Undead</x:v>
      </x:c>
      <x:c r="F47" s="16" t="str">
        <x:v>Zombie horde background</x:v>
      </x:c>
      <x:c r="G47" s="17" t="d">
        <x:v>2026-10-31T12:00:00.000Z</x:v>
      </x:c>
      <x:c r="H47" s="18" t="n">
        <x:f>IF(G47="","",INT(G47)-INT(Overview!$B$4))</x:f>
        <x:v>8</x:v>
      </x:c>
      <x:c r="I47" s="16" t="str">
        <x:f>IF(OR(B47="Passed",B47="Closed"),"No action",IF(OR(B47="Submitted",B47="Waitlisted",B47="Callback",B47="Booked"),IF(L47="","Track outcome",IF(L47&lt;=Overview!$B$4,"Follow up","Follow-up scheduled")),IF(G47="","Confirm deadline",IF(H47&lt;0,"Deadline passed",IF(H47=0,"Due today",IF(H47&lt;=3,"Due within 3 days","Open queue"))))))</x:f>
        <x:v>Open queue</x:v>
      </x:c>
      <x:c r="J47" s="16" t="str">
        <x:v>Confirm Vancouver Island travel and light-stunt comfort before applying</x:v>
      </x:c>
      <x:c r="K47" s="25"/>
      <x:c r="L47" s="25"/>
      <x:c r="M47" s="24"/>
      <x:c r="N47" s="16" t="str">
        <x:v>Unpaid / volunteer</x:v>
      </x:c>
      <x:c r="O47" s="19"/>
      <x:c r="P47" s="16" t="str">
        <x:v>Meals provided</x:v>
      </x:c>
      <x:c r="Q47" s="16" t="str">
        <x:v>Vancouver Island; travel required</x:v>
      </x:c>
      <x:c r="R47" s="17" t="d">
        <x:v>2026-11-20T12:00:00.000Z</x:v>
      </x:c>
      <x:c r="S47" s="17" t="d">
        <x:v>2026-11-22T12:00:00.000Z</x:v>
      </x:c>
      <x:c r="T47" s="16" t="str">
        <x:v>Tentative Nov 20–22</x:v>
      </x:c>
      <x:c r="U47" s="16" t="str">
        <x:f>IF(R47="","Dates unknown",IF(R47&gt;=Overview!$B$5,"After departure",IF(S47="","End unknown",IF(S47&gt;=Overview!$B$5,"Overlaps departure","Before departure"))))</x:f>
        <x:v>Before departure</x:v>
      </x:c>
      <x:c r="V47" s="16" t="str">
        <x:v>Any gender 18–99; light stunt work required; user age 23 fits</x:v>
      </x:c>
      <x:c r="W47" s="16" t="str">
        <x:v>Nonunion</x:v>
      </x:c>
      <x:c r="X47" s="16" t="str">
        <x:v>Backstage application; in-person callbacks</x:v>
      </x:c>
      <x:c r="Y47" s="16" t="d">
        <x:v>2026-11-03T12:00:00.000Z</x:v>
      </x:c>
      <x:c r="Z47" s="16" t="str">
        <x:v>Check application requirements on Backstage</x:v>
      </x:c>
      <x:c r="AA47" s="16" t="str">
        <x:v>Apply via Backstage</x:v>
      </x:c>
      <x:c r="AB47" s="16"/>
      <x:c r="AC47" s="16" t="str">
        <x:v>https://www.backstage.com/casting/waves-of-undead-3327653/background-opportunity-zombie-horde-5662963/</x:v>
      </x:c>
      <x:c r="AD47" s="16" t="str">
        <x:v>Backstage public listing</x:v>
      </x:c>
      <x:c r="AE47" s="17" t="d">
        <x:v>2026-10-23T12:00:00.000Z</x:v>
      </x:c>
      <x:c r="AF47" s="16" t="str">
        <x:v>Public listing reviewed Oct 23; published submission cutoff Oct 31, Backstage expiry Nov 1 4 p.m.</x:v>
      </x:c>
      <x:c r="AG47" s="16" t="str">
        <x:v>Indie sci-fi/horror proof of concept background experience; footage/credit unclear</x:v>
      </x:c>
      <x:c r="AH47" s="16" t="str">
        <x:v>Island transport, stunt demands, exact shoot dates, materials</x:v>
      </x:c>
    </x:row>
  </x:sheetData>
  <x:conditionalFormatting sqref="I7:I26">
    <x:cfRule type="containsText" dxfId="0" priority="1" operator="containsText" text="Due"/>
  </x:conditionalFormatting>
  <x:conditionalFormatting sqref="B7:B26">
    <x:cfRule type="containsText" dxfId="1" priority="2" operator="containsText" text="Submitted"/>
  </x:conditionalFormatting>
  <x:conditionalFormatting sqref="U7:U26">
    <x:cfRule type="containsText" dxfId="2" priority="3" operator="containsText" text="After departure"/>
  </x:conditionalFormatting>
  <x:conditionalFormatting sqref="N7:N26">
    <x:cfRule type="containsText" dxfId="3" priority="4" operator="containsText" text="Paid"/>
  </x:conditionalFormatting>
  <x:dataValidations count="2">
    <x:dataValidation type="list" sqref="B7:B1006">
      <x:formula1>"To do,Research needed,Preparing,Submitted,Waitlisted,Callback,Booked,Passed,Closed"</x:formula1>
    </x:dataValidation>
    <x:dataValidation type="list" sqref="C7:C1006">
      <x:formula1>"Urgent,High,Review fit,Later / travel conflict"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d40f0021274fa1"/>
  </x:tableParts>
</x:worksheet>
</file>

<file path=xl/worksheets/sheet3.xml><?xml version="1.0" encoding="utf-8"?>
<x:worksheet xmlns:x="http://schemas.openxmlformats.org/spreadsheetml/2006/main">
  <x:sheetPr>
    <x:tabColor rgb="FF7E8B9C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6" hidden="0" customWidth="1"/>
    <x:col min="2" max="2" width="65" hidden="0" customWidth="1"/>
    <x:col min="3" max="3" width="16" hidden="0" customWidth="1"/>
    <x:col min="4" max="4" width="72" hidden="0" customWidth="1"/>
    <x:col min="5" max="5" width="65" hidden="0" customWidth="1"/>
  </x:cols>
  <x:sheetData>
    <x:row r="1" ht="8" customHeight="1">
      <x:c r="A1" s="38"/>
      <x:c r="B1" s="38"/>
      <x:c r="C1" s="38"/>
      <x:c r="D1" s="38"/>
      <x:c r="E1" s="38"/>
      <x:c r="F1" s="38"/>
      <x:c r="G1" s="38"/>
      <x:c r="H1" s="38"/>
      <x:c r="I1" s="38"/>
      <x:c r="J1" s="38"/>
    </x:row>
    <x:row r="2" ht="32" customHeight="1">
      <x:c r="A2" s="40" t="str">
        <x:v>Source coverage and remaining review</x:v>
      </x:c>
      <x:c r="B2" s="38"/>
      <x:c r="C2" s="38"/>
      <x:c r="D2" s="38"/>
      <x:c r="E2" s="38"/>
      <x:c r="F2" s="38"/>
      <x:c r="G2" s="38"/>
      <x:c r="H2" s="38"/>
      <x:c r="I2" s="38"/>
      <x:c r="J2" s="38"/>
    </x:row>
    <x:row r="4">
      <x:c r="A4" t="str">
        <x:v>Nine pages across eight group names. Two different Paid Only pages were supplied. All are accessible; history coverage is partial.</x:v>
      </x:c>
    </x:row>
    <x:row r="6" ht="30" customHeight="1">
      <x:c r="A6" s="21" t="str">
        <x:v>Source</x:v>
      </x:c>
      <x:c r="B6" s="21" t="str">
        <x:v>URL</x:v>
      </x:c>
      <x:c r="C6" s="21" t="str">
        <x:v>Checked</x:v>
      </x:c>
      <x:c r="D6" s="21" t="str">
        <x:v>Coverage / limitation</x:v>
      </x:c>
      <x:c r="E6" s="21" t="str">
        <x:v>Next step</x:v>
      </x:c>
    </x:row>
    <x:row r="7" ht="52" customHeight="1">
      <x:c r="A7" s="34" t="str">
        <x:v>HOLLYWOOD NORTH: Vancouver Film Industry</x:v>
      </x:c>
      <x:c r="B7" s="34" t="str">
        <x:v>https://www.facebook.com/groups/hollywoodnorthvancouverfilmindustry/</x:v>
      </x:c>
      <x:c r="C7" s="35" t="d">
        <x:v>2026-10-23T12:00:00.000Z</x:v>
      </x:c>
      <x:c r="D7" s="34" t="str">
        <x:v>Top visible recent posts reviewed Oct 23; mostly classes/networking. No full chronological pagination; image-only calls may be missed.</x:v>
      </x:c>
      <x:c r="E7" s="34" t="str">
        <x:v>Review new posts and verify upcoming deadlines. Historical sweep discontinued by user.</x:v>
      </x:c>
    </x:row>
    <x:row r="8" ht="52" customHeight="1">
      <x:c r="A8" s="34" t="str">
        <x:v>BC Casting Call</x:v>
      </x:c>
      <x:c r="B8" s="34" t="str">
        <x:v>https://www.facebook.com/groups/233914560287649/</x:v>
      </x:c>
      <x:c r="C8" s="35" t="d">
        <x:v>2026-10-23T12:00:00.000Z</x:v>
      </x:c>
      <x:c r="D8" s="34" t="str">
        <x:v>Top visible posts reviewed Oct 23; food-delivery spec cross-check. No full chronological pagination.</x:v>
      </x:c>
      <x:c r="E8" s="34" t="str">
        <x:v>Review new posts and verify upcoming deadlines. Historical sweep discontinued by user.</x:v>
      </x:c>
    </x:row>
    <x:row r="9" ht="52" customHeight="1">
      <x:c r="A9" s="34" t="str">
        <x:v>Vancouver Background/Extras &amp; Stand-Ins Group</x:v>
      </x:c>
      <x:c r="B9" s="34" t="str">
        <x:v>https://www.facebook.com/groups/vancouverextras/</x:v>
      </x:c>
      <x:c r="C9" s="35" t="d">
        <x:v>2026-10-23T12:00:00.000Z</x:v>
      </x:c>
      <x:c r="D9" s="34" t="str">
        <x:v>Top visible posts reviewed Oct 23; scrolled into older posts near Oct 12. No full chronological pagination.</x:v>
      </x:c>
      <x:c r="E9" s="34" t="str">
        <x:v>Review new posts and verify upcoming deadlines. Historical sweep discontinued by user.</x:v>
      </x:c>
    </x:row>
    <x:row r="10" ht="52" customHeight="1">
      <x:c r="A10" s="34" t="str">
        <x:v>Paid Only (2.5K members)</x:v>
      </x:c>
      <x:c r="B10" s="34" t="str">
        <x:v>https://www.facebook.com/groups/511691079724250/</x:v>
      </x:c>
      <x:c r="C10" s="35" t="d">
        <x:v>2026-10-23T12:00:00.000Z</x:v>
      </x:c>
      <x:c r="D10" s="34" t="str">
        <x:v>Top visible posts reviewed Oct 23; eBOSS article. No full chronological pagination.</x:v>
      </x:c>
      <x:c r="E10" s="34" t="str">
        <x:v>Review new posts and verify upcoming deadlines. Historical sweep discontinued by user.</x:v>
      </x:c>
    </x:row>
    <x:row r="11" ht="52" customHeight="1">
      <x:c r="A11" s="34" t="str">
        <x:v>Paid Only (10K members)</x:v>
      </x:c>
      <x:c r="B11" s="34" t="str">
        <x:v>https://www.facebook.com/groups/272268773737408/</x:v>
      </x:c>
      <x:c r="C11" s="35" t="d">
        <x:v>2026-10-23T12:00:00.000Z</x:v>
      </x:c>
      <x:c r="D11" s="34" t="str">
        <x:v>Top visible Oct 23 posts reviewed: Spencer and DOGS, including role details. Other posts not exhaustively paginated.</x:v>
      </x:c>
      <x:c r="E11" s="34" t="str">
        <x:v>Review new posts and verify upcoming deadlines. Historical sweep discontinued by user.</x:v>
      </x:c>
    </x:row>
    <x:row r="12" ht="52" customHeight="1">
      <x:c r="A12" s="34" t="str">
        <x:v>Vancouver Independent Film Crew</x:v>
      </x:c>
      <x:c r="B12" s="34" t="str">
        <x:v>https://www.facebook.com/groups/23366837344/</x:v>
      </x:c>
      <x:c r="C12" s="35" t="d">
        <x:v>2026-10-23T12:00:00.000Z</x:v>
      </x:c>
      <x:c r="D12" s="34" t="str">
        <x:v>Top visible Oct 23 posts reviewed: podcast videographer/editor. Other posts not exhaustively paginated.</x:v>
      </x:c>
      <x:c r="E12" s="34" t="str">
        <x:v>Review new posts and verify upcoming deadlines. Historical sweep discontinued by user.</x:v>
      </x:c>
    </x:row>
    <x:row r="13" ht="52" customHeight="1">
      <x:c r="A13" s="34" t="str">
        <x:v>Vancouver Island Casting Call</x:v>
      </x:c>
      <x:c r="B13" s="34" t="str">
        <x:v>https://www.facebook.com/groups/VIcasting/</x:v>
      </x:c>
      <x:c r="C13" s="35" t="d">
        <x:v>2026-10-23T12:00:00.000Z</x:v>
      </x:c>
      <x:c r="D13" s="34" t="str">
        <x:v>Top visible posts reviewed Oct 23; no new relevant casting verified. No full chronological pagination.</x:v>
      </x:c>
      <x:c r="E13" s="34" t="str">
        <x:v>Review new posts and verify upcoming deadlines. Historical sweep discontinued by user.</x:v>
      </x:c>
    </x:row>
    <x:row r="14" ht="52" customHeight="1">
      <x:c r="A14" s="34" t="str">
        <x:v>Actors in Vancouver</x:v>
      </x:c>
      <x:c r="B14" s="34" t="str">
        <x:v>https://www.facebook.com/groups/283017421807719/</x:v>
      </x:c>
      <x:c r="C14" s="35" t="d">
        <x:v>2026-10-23T12:00:00.000Z</x:v>
      </x:c>
      <x:c r="D14" s="34" t="str">
        <x:v>Top visible Oct 23 posts reviewed; DOGS cross-post deduplicated. No full chronological pagination.</x:v>
      </x:c>
      <x:c r="E14" s="34" t="str">
        <x:v>Review new posts and verify upcoming deadlines. Historical sweep discontinued by user.</x:v>
      </x:c>
    </x:row>
    <x:row r="15" ht="52" customHeight="1">
      <x:c r="A15" s="34" t="str">
        <x:v>Vancouver Photographers and Models</x:v>
      </x:c>
      <x:c r="B15" s="34" t="str">
        <x:v>https://www.facebook.com/groups/vancouverphotographersandmodels/</x:v>
      </x:c>
      <x:c r="C15" s="35" t="d">
        <x:v>2026-10-23T12:00:00.000Z</x:v>
      </x:c>
      <x:c r="D15" s="34" t="str">
        <x:v>Top visible Oct 23 posts reviewed; TFP collaboration, no relevant audition. No full chronological pagination.</x:v>
      </x:c>
      <x:c r="E15" s="34" t="str">
        <x:v>Review new posts and verify upcoming deadlines. Historical sweep discontinued by user.</x:v>
      </x:c>
    </x:row>
    <x:row r="16" ht="52" customHeight="1">
      <x:c r="A16" s="34"/>
      <x:c r="B16" s="34"/>
      <x:c r="C16" s="35"/>
      <x:c r="D16" s="34"/>
      <x:c r="E16" s="34"/>
    </x:row>
    <x:row r="17" ht="52" customHeight="1">
      <x:c r="A17" s="34" t="str">
        <x:v>Online casting/jobs</x:v>
      </x:c>
      <x:c r="B17" s="34" t="str">
        <x:v>See source URLs in Opportunities</x:v>
      </x:c>
      <x:c r="C17" s="35" t="d">
        <x:v>2026-10-15T00:00:00.000Z</x:v>
      </x:c>
      <x:c r="D17" s="34" t="str">
        <x:v>Sales Team Six, hotel shoot and Aylex checked. Other sources not exhaustively reviewed.</x:v>
      </x:c>
      <x:c r="E17" s="34" t="str">
        <x:v>Check Backstage, Actors Access, Casting Networks, Casting Workbook and local employers.</x:v>
      </x:c>
    </x:row>
    <x:row r="18">
      <x:c r="A18" t="str">
        <x:v>Backstage</x:v>
      </x:c>
      <x:c r="B18" t="str">
        <x:v>https://www.backstage.com/casting/</x:v>
      </x:c>
      <x:c r="C18" t="d">
        <x:v>2026-10-23T12:00:00.000Z</x:v>
      </x:c>
      <x:c r="D18" t="str">
        <x:v>Public Backstage direct pages reviewed Oct 23: Johnson Paranormal, Supreme, Waves Of Undead; personalized/application details inaccessible without sign-in. Search is not exhaustive.</x:v>
      </x:c>
      <x:c r="E18" t="str">
        <x:v>Check public listings next run; match profile once provided.</x:v>
      </x:c>
    </x:row>
    <x:row r="19">
      <x:c r="A19" t="str">
        <x:v>Still-open status must be rechecked before applying. Research-needed rows are leads, not verified available bookings.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24" hidden="0" customWidth="1"/>
    <x:col min="34" max="34" width="24" hidden="0" customWidth="1"/>
  </x:cols>
  <x:sheetData>
    <x:row r="1" ht="8" customHeight="1">
      <x:c r="A1" s="38"/>
      <x:c r="B1" s="38"/>
      <x:c r="C1" s="38"/>
      <x:c r="D1" s="38"/>
      <x:c r="E1" s="38"/>
      <x:c r="F1" s="38"/>
      <x:c r="G1" s="38"/>
      <x:c r="H1" s="38"/>
      <x:c r="I1" s="38"/>
      <x:c r="J1" s="38"/>
    </x:row>
    <x:row r="2" ht="32" customHeight="1">
      <x:c r="A2" s="40" t="str">
        <x:v>Past deadlines — retained for your records</x:v>
      </x:c>
      <x:c r="B2" s="38"/>
      <x:c r="C2" s="38"/>
      <x:c r="D2" s="38"/>
      <x:c r="E2" s="38"/>
      <x:c r="F2" s="38"/>
      <x:c r="G2" s="38"/>
      <x:c r="H2" s="38"/>
      <x:c r="I2" s="38"/>
      <x:c r="J2" s="38"/>
    </x:row>
    <x:row r="6" ht="40" customHeight="1">
      <x:c r="A6" s="3" t="str">
        <x:v>ID</x:v>
      </x:c>
      <x:c r="B6" s="3" t="str">
        <x:v>Application status</x:v>
      </x:c>
      <x:c r="C6" s="3" t="str">
        <x:v>Your priority</x:v>
      </x:c>
      <x:c r="D6" s="3" t="str">
        <x:v>Category</x:v>
      </x:c>
      <x:c r="E6" s="3" t="str">
        <x:v>Project</x:v>
      </x:c>
      <x:c r="F6" s="3" t="str">
        <x:v>Role</x:v>
      </x:c>
      <x:c r="G6" s="3" t="str">
        <x:v>Deadline</x:v>
      </x:c>
      <x:c r="H6" s="3" t="str">
        <x:v>Days left</x:v>
      </x:c>
      <x:c r="I6" s="3" t="str">
        <x:v>Reminder</x:v>
      </x:c>
      <x:c r="J6" s="3" t="str">
        <x:v>Next action</x:v>
      </x:c>
      <x:c r="K6" s="3" t="str">
        <x:v>Submitted on</x:v>
      </x:c>
      <x:c r="L6" s="3" t="str">
        <x:v>Follow-up on</x:v>
      </x:c>
      <x:c r="M6" s="3" t="str">
        <x:v>Your notes</x:v>
      </x:c>
      <x:c r="N6" s="3" t="str">
        <x:v>Pay type</x:v>
      </x:c>
      <x:c r="O6" s="3" t="str">
        <x:v>Rate</x:v>
      </x:c>
      <x:c r="P6" s="3" t="str">
        <x:v>Pay basis</x:v>
      </x:c>
      <x:c r="Q6" s="3" t="str">
        <x:v>Location</x:v>
      </x:c>
      <x:c r="R6" s="3" t="str">
        <x:v>Shoot start</x:v>
      </x:c>
      <x:c r="S6" s="3" t="str">
        <x:v>Shoot end</x:v>
      </x:c>
      <x:c r="T6" s="3" t="str">
        <x:v>Schedule / hours</x:v>
      </x:c>
      <x:c r="U6" s="3" t="str">
        <x:v>Before Dec 1?</x:v>
      </x:c>
      <x:c r="V6" s="3" t="str">
        <x:v>Eligibility / fit</x:v>
      </x:c>
      <x:c r="W6" s="3" t="str">
        <x:v>Union</x:v>
      </x:c>
      <x:c r="X6" s="3" t="str">
        <x:v>Audition format</x:v>
      </x:c>
      <x:c r="Y6" s="3" t="str">
        <x:v>Audition / callback dates</x:v>
      </x:c>
      <x:c r="Z6" s="3" t="str">
        <x:v>Submission materials</x:v>
      </x:c>
      <x:c r="AA6" s="3" t="str">
        <x:v>Contact / recipient</x:v>
      </x:c>
      <x:c r="AB6" s="3" t="str">
        <x:v>Email subject</x:v>
      </x:c>
      <x:c r="AC6" s="3" t="str">
        <x:v>Application / source URL</x:v>
      </x:c>
      <x:c r="AD6" s="3" t="str">
        <x:v>Group / source</x:v>
      </x:c>
      <x:c r="AE6" s="3" t="str">
        <x:v>Checked on</x:v>
      </x:c>
      <x:c r="AF6" s="3" t="str">
        <x:v>Verification</x:v>
      </x:c>
      <x:c r="AG6" s="3" t="str">
        <x:v>Portfolio / equipment</x:v>
      </x:c>
      <x:c r="AH6" s="3" t="str">
        <x:v>Missing / confirm</x:v>
      </x:c>
    </x:row>
    <x:row r="7" ht="40" customHeight="1">
      <x:c r="A7" s="2" t="str">
        <x:v>ST6-STU</x:v>
      </x:c>
      <x:c r="B7" s="2" t="str">
        <x:v>To do</x:v>
      </x:c>
      <x:c r="C7" s="2" t="str">
        <x:v>Urgent</x:v>
      </x:c>
      <x:c r="D7" s="2" t="str">
        <x:v>Acting — film / TV</x:v>
      </x:c>
      <x:c r="E7" s="2" t="str">
        <x:v>Sales Team Six</x:v>
      </x:c>
      <x:c r="F7" s="2" t="str">
        <x:v>Stu</x:v>
      </x:c>
      <x:c r="G7" s="4" t="d">
        <x:v>2026-10-15T00:00:00.000Z</x:v>
      </x:c>
      <x:c r="H7" s="2"/>
      <x:c r="I7" s="2" t="str">
        <x:v>Deadline passed</x:v>
      </x:c>
      <x:c r="J7" s="2" t="str">
        <x:v>Obtain sides and submit self-tape before deadline</x:v>
      </x:c>
      <x:c r="K7" s="4"/>
      <x:c r="L7" s="4"/>
      <x:c r="M7" s="2" t="str"/>
      <x:c r="N7" s="2" t="str">
        <x:v>Unknown</x:v>
      </x:c>
      <x:c r="O7" s="2"/>
      <x:c r="P7" s="2" t="str"/>
      <x:c r="Q7" s="2" t="str">
        <x:v>Greater Vancouver</x:v>
      </x:c>
      <x:c r="R7" s="4" t="d">
        <x:v>2026-11-13T00:00:00.000Z</x:v>
      </x:c>
      <x:c r="S7" s="4" t="d">
        <x:v>2026-11-15T00:00:00.000Z</x:v>
      </x:c>
      <x:c r="T7" s="2" t="str"/>
      <x:c r="U7" s="2"/>
      <x:c r="V7" s="2" t="str">
        <x:v>Male 20–30, all ethnicities</x:v>
      </x:c>
      <x:c r="W7" s="2" t="str">
        <x:v>Union and non-union</x:v>
      </x:c>
      <x:c r="X7" s="2" t="str">
        <x:v>Self-tape; callbacks</x:v>
      </x:c>
      <x:c r="Y7" s="2" t="str">
        <x:v>Self-tape Oct 15; callbacks Oct 17; cutoff time not stated</x:v>
      </x:c>
      <x:c r="Z7" s="2" t="str">
        <x:v>Headshot, résumé, optional reel; indicate role; self-tape instructions via listing</x:v>
      </x:c>
      <x:c r="AA7" s="2" t="str">
        <x:v>Apply through listing; direct recipient not public</x:v>
      </x:c>
      <x:c r="AB7" s="2" t="str"/>
      <x:c r="AC7" s="2" t="str">
        <x:v>https://allcasting.com/castingcall/321852</x:v>
      </x:c>
      <x:c r="AD7" s="2" t="str">
        <x:v>AllCasting</x:v>
      </x:c>
      <x:c r="AE7" s="4" t="d">
        <x:v>2026-10-15T00:00:00.000Z</x:v>
      </x:c>
      <x:c r="AF7" s="2" t="str">
        <x:v>Full text reviewed</x:v>
      </x:c>
      <x:c r="AG7" s="2" t="str">
        <x:v>Student short; acting experience. Reel/credit not promised in listing.</x:v>
      </x:c>
      <x:c r="AH7" s="2" t="str">
        <x:v>Pay, exact cutoff, sides and direct recipient</x:v>
      </x:c>
    </x:row>
    <x:row r="8" ht="40" customHeight="1">
      <x:c r="A8" s="2" t="str">
        <x:v>ST6-MACK</x:v>
      </x:c>
      <x:c r="B8" s="2" t="str">
        <x:v>To do</x:v>
      </x:c>
      <x:c r="C8" s="2" t="str">
        <x:v>Urgent</x:v>
      </x:c>
      <x:c r="D8" s="2" t="str">
        <x:v>Acting — film / TV</x:v>
      </x:c>
      <x:c r="E8" s="2" t="str">
        <x:v>Sales Team Six</x:v>
      </x:c>
      <x:c r="F8" s="2" t="str">
        <x:v>Mack</x:v>
      </x:c>
      <x:c r="G8" s="4" t="d">
        <x:v>2026-10-15T00:00:00.000Z</x:v>
      </x:c>
      <x:c r="H8" s="2"/>
      <x:c r="I8" s="2" t="str">
        <x:v>Deadline passed</x:v>
      </x:c>
      <x:c r="J8" s="2" t="str">
        <x:v>Obtain sides and submit self-tape before deadline</x:v>
      </x:c>
      <x:c r="K8" s="4"/>
      <x:c r="L8" s="4"/>
      <x:c r="M8" s="2" t="str"/>
      <x:c r="N8" s="2" t="str">
        <x:v>Unknown</x:v>
      </x:c>
      <x:c r="O8" s="2"/>
      <x:c r="P8" s="2" t="str"/>
      <x:c r="Q8" s="2" t="str">
        <x:v>Greater Vancouver</x:v>
      </x:c>
      <x:c r="R8" s="4" t="d">
        <x:v>2026-11-13T00:00:00.000Z</x:v>
      </x:c>
      <x:c r="S8" s="4" t="d">
        <x:v>2026-11-15T00:00:00.000Z</x:v>
      </x:c>
      <x:c r="T8" s="2" t="str"/>
      <x:c r="U8" s="2"/>
      <x:c r="V8" s="2" t="str">
        <x:v>Male 18–25, all ethnicities</x:v>
      </x:c>
      <x:c r="W8" s="2" t="str">
        <x:v>Union and non-union</x:v>
      </x:c>
      <x:c r="X8" s="2" t="str">
        <x:v>Self-tape; callbacks</x:v>
      </x:c>
      <x:c r="Y8" s="2" t="str">
        <x:v>Self-tape Oct 15; callbacks Oct 17; cutoff time not stated</x:v>
      </x:c>
      <x:c r="Z8" s="2" t="str">
        <x:v>Headshot, résumé, optional reel; indicate role; self-tape instructions via listing</x:v>
      </x:c>
      <x:c r="AA8" s="2" t="str">
        <x:v>Apply through listing; direct recipient not public</x:v>
      </x:c>
      <x:c r="AB8" s="2" t="str"/>
      <x:c r="AC8" s="2" t="str">
        <x:v>https://allcasting.com/castingcall/321852</x:v>
      </x:c>
      <x:c r="AD8" s="2" t="str">
        <x:v>AllCasting</x:v>
      </x:c>
      <x:c r="AE8" s="4" t="d">
        <x:v>2026-10-15T00:00:00.000Z</x:v>
      </x:c>
      <x:c r="AF8" s="2" t="str">
        <x:v>Full text reviewed</x:v>
      </x:c>
      <x:c r="AG8" s="2" t="str">
        <x:v>Student short; acting experience. Reel/credit not promised in listing.</x:v>
      </x:c>
      <x:c r="AH8" s="2" t="str">
        <x:v>Pay, exact cutoff, sides and direct recipient</x:v>
      </x:c>
    </x:row>
    <x:row r="9" ht="40" customHeight="1">
      <x:c r="A9" s="2" t="str">
        <x:v>ST6-HAROLD</x:v>
      </x:c>
      <x:c r="B9" s="2" t="str">
        <x:v>To do</x:v>
      </x:c>
      <x:c r="C9" s="2" t="str">
        <x:v>Urgent</x:v>
      </x:c>
      <x:c r="D9" s="2" t="str">
        <x:v>Acting — film / TV</x:v>
      </x:c>
      <x:c r="E9" s="2" t="str">
        <x:v>Sales Team Six</x:v>
      </x:c>
      <x:c r="F9" s="2" t="str">
        <x:v>Harold</x:v>
      </x:c>
      <x:c r="G9" s="4" t="d">
        <x:v>2026-10-15T00:00:00.000Z</x:v>
      </x:c>
      <x:c r="H9" s="2"/>
      <x:c r="I9" s="2" t="str">
        <x:v>Deadline passed</x:v>
      </x:c>
      <x:c r="J9" s="2" t="str">
        <x:v>Obtain sides and submit self-tape before deadline</x:v>
      </x:c>
      <x:c r="K9" s="4"/>
      <x:c r="L9" s="4"/>
      <x:c r="M9" s="2" t="str"/>
      <x:c r="N9" s="2" t="str">
        <x:v>Unknown</x:v>
      </x:c>
      <x:c r="O9" s="2"/>
      <x:c r="P9" s="2" t="str"/>
      <x:c r="Q9" s="2" t="str">
        <x:v>Greater Vancouver</x:v>
      </x:c>
      <x:c r="R9" s="4" t="d">
        <x:v>2026-11-13T00:00:00.000Z</x:v>
      </x:c>
      <x:c r="S9" s="4" t="d">
        <x:v>2026-11-15T00:00:00.000Z</x:v>
      </x:c>
      <x:c r="T9" s="2" t="str"/>
      <x:c r="U9" s="2"/>
      <x:c r="V9" s="2" t="str">
        <x:v>Male 30–45, all ethnicities</x:v>
      </x:c>
      <x:c r="W9" s="2" t="str">
        <x:v>Union and non-union</x:v>
      </x:c>
      <x:c r="X9" s="2" t="str">
        <x:v>Self-tape; callbacks</x:v>
      </x:c>
      <x:c r="Y9" s="2" t="str">
        <x:v>Self-tape Oct 15; callbacks Oct 17; cutoff time not stated</x:v>
      </x:c>
      <x:c r="Z9" s="2" t="str">
        <x:v>Headshot, résumé, optional reel; indicate role; self-tape instructions via listing</x:v>
      </x:c>
      <x:c r="AA9" s="2" t="str">
        <x:v>Apply through listing; direct recipient not public</x:v>
      </x:c>
      <x:c r="AB9" s="2" t="str"/>
      <x:c r="AC9" s="2" t="str">
        <x:v>https://allcasting.com/castingcall/321852</x:v>
      </x:c>
      <x:c r="AD9" s="2" t="str">
        <x:v>AllCasting</x:v>
      </x:c>
      <x:c r="AE9" s="4" t="d">
        <x:v>2026-10-15T00:00:00.000Z</x:v>
      </x:c>
      <x:c r="AF9" s="2" t="str">
        <x:v>Full text reviewed</x:v>
      </x:c>
      <x:c r="AG9" s="2" t="str">
        <x:v>Student short; acting experience. Reel/credit not promised in listing.</x:v>
      </x:c>
      <x:c r="AH9" s="2" t="str">
        <x:v>Pay, exact cutoff, sides and direct recipient</x:v>
      </x:c>
    </x:row>
    <x:row r="10" ht="40" customHeight="1">
      <x:c r="A10" s="2" t="str">
        <x:v>ST6-WILLIAM</x:v>
      </x:c>
      <x:c r="B10" s="2" t="str">
        <x:v>To do</x:v>
      </x:c>
      <x:c r="C10" s="2" t="str">
        <x:v>Urgent</x:v>
      </x:c>
      <x:c r="D10" s="2" t="str">
        <x:v>Acting — film / TV</x:v>
      </x:c>
      <x:c r="E10" s="2" t="str">
        <x:v>Sales Team Six</x:v>
      </x:c>
      <x:c r="F10" s="2" t="str">
        <x:v>William</x:v>
      </x:c>
      <x:c r="G10" s="4" t="d">
        <x:v>2026-10-15T00:00:00.000Z</x:v>
      </x:c>
      <x:c r="H10" s="2"/>
      <x:c r="I10" s="2" t="str">
        <x:v>Deadline passed</x:v>
      </x:c>
      <x:c r="J10" s="2" t="str">
        <x:v>Obtain sides and submit self-tape before deadline</x:v>
      </x:c>
      <x:c r="K10" s="4"/>
      <x:c r="L10" s="4"/>
      <x:c r="M10" s="2" t="str"/>
      <x:c r="N10" s="2" t="str">
        <x:v>Unknown</x:v>
      </x:c>
      <x:c r="O10" s="2"/>
      <x:c r="P10" s="2" t="str"/>
      <x:c r="Q10" s="2" t="str">
        <x:v>Greater Vancouver</x:v>
      </x:c>
      <x:c r="R10" s="4" t="d">
        <x:v>2026-11-13T00:00:00.000Z</x:v>
      </x:c>
      <x:c r="S10" s="4" t="d">
        <x:v>2026-11-15T00:00:00.000Z</x:v>
      </x:c>
      <x:c r="T10" s="2" t="str"/>
      <x:c r="U10" s="2"/>
      <x:c r="V10" s="2" t="str">
        <x:v>Male 60–70, all ethnicities</x:v>
      </x:c>
      <x:c r="W10" s="2" t="str">
        <x:v>Union and non-union</x:v>
      </x:c>
      <x:c r="X10" s="2" t="str">
        <x:v>Self-tape; callbacks</x:v>
      </x:c>
      <x:c r="Y10" s="2" t="str">
        <x:v>Self-tape Oct 15; callbacks Oct 17; cutoff time not stated</x:v>
      </x:c>
      <x:c r="Z10" s="2" t="str">
        <x:v>Headshot, résumé, optional reel; indicate role; self-tape instructions via listing</x:v>
      </x:c>
      <x:c r="AA10" s="2" t="str">
        <x:v>Apply through listing; direct recipient not public</x:v>
      </x:c>
      <x:c r="AB10" s="2" t="str"/>
      <x:c r="AC10" s="2" t="str">
        <x:v>https://allcasting.com/castingcall/321852</x:v>
      </x:c>
      <x:c r="AD10" s="2" t="str">
        <x:v>AllCasting</x:v>
      </x:c>
      <x:c r="AE10" s="4" t="d">
        <x:v>2026-10-15T00:00:00.000Z</x:v>
      </x:c>
      <x:c r="AF10" s="2" t="str">
        <x:v>Full text reviewed</x:v>
      </x:c>
      <x:c r="AG10" s="2" t="str">
        <x:v>Student short; acting experience. Reel/credit not promised in listing.</x:v>
      </x:c>
      <x:c r="AH10" s="2" t="str">
        <x:v>Pay, exact cutoff, sides and direct recipient</x:v>
      </x:c>
    </x:row>
    <x:row r="11" ht="40" customHeight="1">
      <x:c r="A11" s="2" t="str">
        <x:v>ST6-ALAN</x:v>
      </x:c>
      <x:c r="B11" s="2" t="str">
        <x:v>To do</x:v>
      </x:c>
      <x:c r="C11" s="2" t="str">
        <x:v>Urgent</x:v>
      </x:c>
      <x:c r="D11" s="2" t="str">
        <x:v>Acting — film / TV</x:v>
      </x:c>
      <x:c r="E11" s="2" t="str">
        <x:v>Sales Team Six</x:v>
      </x:c>
      <x:c r="F11" s="2" t="str">
        <x:v>Alan</x:v>
      </x:c>
      <x:c r="G11" s="4" t="d">
        <x:v>2026-10-15T00:00:00.000Z</x:v>
      </x:c>
      <x:c r="H11" s="2"/>
      <x:c r="I11" s="2" t="str">
        <x:v>Deadline passed</x:v>
      </x:c>
      <x:c r="J11" s="2" t="str">
        <x:v>Obtain sides and submit self-tape before deadline</x:v>
      </x:c>
      <x:c r="K11" s="4"/>
      <x:c r="L11" s="4"/>
      <x:c r="M11" s="2" t="str"/>
      <x:c r="N11" s="2" t="str">
        <x:v>Unknown</x:v>
      </x:c>
      <x:c r="O11" s="2"/>
      <x:c r="P11" s="2" t="str"/>
      <x:c r="Q11" s="2" t="str">
        <x:v>Greater Vancouver</x:v>
      </x:c>
      <x:c r="R11" s="4" t="d">
        <x:v>2026-11-13T00:00:00.000Z</x:v>
      </x:c>
      <x:c r="S11" s="4" t="d">
        <x:v>2026-11-15T00:00:00.000Z</x:v>
      </x:c>
      <x:c r="T11" s="2" t="str"/>
      <x:c r="U11" s="2"/>
      <x:c r="V11" s="2" t="str">
        <x:v>Male 45–64, all ethnicities</x:v>
      </x:c>
      <x:c r="W11" s="2" t="str">
        <x:v>Union and non-union</x:v>
      </x:c>
      <x:c r="X11" s="2" t="str">
        <x:v>Self-tape; callbacks</x:v>
      </x:c>
      <x:c r="Y11" s="2" t="str">
        <x:v>Self-tape Oct 15; callbacks Oct 17; cutoff time not stated</x:v>
      </x:c>
      <x:c r="Z11" s="2" t="str">
        <x:v>Headshot, résumé, optional reel; indicate role; self-tape instructions via listing</x:v>
      </x:c>
      <x:c r="AA11" s="2" t="str">
        <x:v>Apply through listing; direct recipient not public</x:v>
      </x:c>
      <x:c r="AB11" s="2" t="str"/>
      <x:c r="AC11" s="2" t="str">
        <x:v>https://allcasting.com/castingcall/321852</x:v>
      </x:c>
      <x:c r="AD11" s="2" t="str">
        <x:v>AllCasting</x:v>
      </x:c>
      <x:c r="AE11" s="4" t="d">
        <x:v>2026-10-15T00:00:00.000Z</x:v>
      </x:c>
      <x:c r="AF11" s="2" t="str">
        <x:v>Full text reviewed</x:v>
      </x:c>
      <x:c r="AG11" s="2" t="str">
        <x:v>Student short; acting experience. Reel/credit not promised in listing.</x:v>
      </x:c>
      <x:c r="AH11" s="2" t="str">
        <x:v>Pay, exact cutoff, sides and direct recipient</x:v>
      </x:c>
    </x:row>
    <x:row r="12" ht="40" customHeight="1">
      <x:c r="A12" s="2" t="str">
        <x:v>ST6-ALEX</x:v>
      </x:c>
      <x:c r="B12" s="2" t="str">
        <x:v>To do</x:v>
      </x:c>
      <x:c r="C12" s="2" t="str">
        <x:v>Urgent</x:v>
      </x:c>
      <x:c r="D12" s="2" t="str">
        <x:v>Acting — film / TV</x:v>
      </x:c>
      <x:c r="E12" s="2" t="str">
        <x:v>Sales Team Six</x:v>
      </x:c>
      <x:c r="F12" s="2" t="str">
        <x:v>Alex</x:v>
      </x:c>
      <x:c r="G12" s="4" t="d">
        <x:v>2026-10-15T00:00:00.000Z</x:v>
      </x:c>
      <x:c r="H12" s="2"/>
      <x:c r="I12" s="2" t="str">
        <x:v>Deadline passed</x:v>
      </x:c>
      <x:c r="J12" s="2" t="str">
        <x:v>Obtain sides and submit self-tape before deadline</x:v>
      </x:c>
      <x:c r="K12" s="4"/>
      <x:c r="L12" s="4"/>
      <x:c r="M12" s="2" t="str"/>
      <x:c r="N12" s="2" t="str">
        <x:v>Unknown</x:v>
      </x:c>
      <x:c r="O12" s="2"/>
      <x:c r="P12" s="2" t="str"/>
      <x:c r="Q12" s="2" t="str">
        <x:v>Greater Vancouver</x:v>
      </x:c>
      <x:c r="R12" s="4" t="d">
        <x:v>2026-11-13T00:00:00.000Z</x:v>
      </x:c>
      <x:c r="S12" s="4" t="d">
        <x:v>2026-11-15T00:00:00.000Z</x:v>
      </x:c>
      <x:c r="T12" s="2" t="str"/>
      <x:c r="U12" s="2"/>
      <x:c r="V12" s="2" t="str">
        <x:v>Female 35–55, all ethnicities</x:v>
      </x:c>
      <x:c r="W12" s="2" t="str">
        <x:v>Union and non-union</x:v>
      </x:c>
      <x:c r="X12" s="2" t="str">
        <x:v>Self-tape; callbacks</x:v>
      </x:c>
      <x:c r="Y12" s="2" t="str">
        <x:v>Self-tape Oct 15; callbacks Oct 17; cutoff time not stated</x:v>
      </x:c>
      <x:c r="Z12" s="2" t="str">
        <x:v>Headshot, résumé, optional reel; indicate role; self-tape instructions via listing</x:v>
      </x:c>
      <x:c r="AA12" s="2" t="str">
        <x:v>Apply through listing; direct recipient not public</x:v>
      </x:c>
      <x:c r="AB12" s="2" t="str"/>
      <x:c r="AC12" s="2" t="str">
        <x:v>https://allcasting.com/castingcall/321852</x:v>
      </x:c>
      <x:c r="AD12" s="2" t="str">
        <x:v>AllCasting</x:v>
      </x:c>
      <x:c r="AE12" s="4" t="d">
        <x:v>2026-10-15T00:00:00.000Z</x:v>
      </x:c>
      <x:c r="AF12" s="2" t="str">
        <x:v>Full text reviewed</x:v>
      </x:c>
      <x:c r="AG12" s="2" t="str">
        <x:v>Student short; acting experience. Reel/credit not promised in listing.</x:v>
      </x:c>
      <x:c r="AH12" s="2" t="str">
        <x:v>Pay, exact cutoff, sides and direct recipient</x:v>
      </x:c>
    </x:row>
    <x:row r="13" ht="40" customHeight="1">
      <x:c r="A13" s="2" t="str">
        <x:v>ST6-FRASER</x:v>
      </x:c>
      <x:c r="B13" s="2" t="str">
        <x:v>To do</x:v>
      </x:c>
      <x:c r="C13" s="2" t="str">
        <x:v>Urgent</x:v>
      </x:c>
      <x:c r="D13" s="2" t="str">
        <x:v>Acting — film / TV</x:v>
      </x:c>
      <x:c r="E13" s="2" t="str">
        <x:v>Sales Team Six</x:v>
      </x:c>
      <x:c r="F13" s="2" t="str">
        <x:v>Fraser</x:v>
      </x:c>
      <x:c r="G13" s="4" t="d">
        <x:v>2026-10-15T00:00:00.000Z</x:v>
      </x:c>
      <x:c r="H13" s="2"/>
      <x:c r="I13" s="2" t="str">
        <x:v>Deadline passed</x:v>
      </x:c>
      <x:c r="J13" s="2" t="str">
        <x:v>Obtain sides and submit self-tape before deadline</x:v>
      </x:c>
      <x:c r="K13" s="4"/>
      <x:c r="L13" s="4"/>
      <x:c r="M13" s="2" t="str"/>
      <x:c r="N13" s="2" t="str">
        <x:v>Unknown</x:v>
      </x:c>
      <x:c r="O13" s="2"/>
      <x:c r="P13" s="2" t="str"/>
      <x:c r="Q13" s="2" t="str">
        <x:v>Greater Vancouver</x:v>
      </x:c>
      <x:c r="R13" s="4" t="d">
        <x:v>2026-11-13T00:00:00.000Z</x:v>
      </x:c>
      <x:c r="S13" s="4" t="d">
        <x:v>2026-11-15T00:00:00.000Z</x:v>
      </x:c>
      <x:c r="T13" s="2" t="str"/>
      <x:c r="U13" s="2"/>
      <x:c r="V13" s="2" t="str">
        <x:v>Male 40–55, all ethnicities</x:v>
      </x:c>
      <x:c r="W13" s="2" t="str">
        <x:v>Union and non-union</x:v>
      </x:c>
      <x:c r="X13" s="2" t="str">
        <x:v>Self-tape; callbacks</x:v>
      </x:c>
      <x:c r="Y13" s="2" t="str">
        <x:v>Self-tape Oct 15; callbacks Oct 17; cutoff time not stated</x:v>
      </x:c>
      <x:c r="Z13" s="2" t="str">
        <x:v>Headshot, résumé, optional reel; indicate role; self-tape instructions via listing</x:v>
      </x:c>
      <x:c r="AA13" s="2" t="str">
        <x:v>Apply through listing; direct recipient not public</x:v>
      </x:c>
      <x:c r="AB13" s="2" t="str"/>
      <x:c r="AC13" s="2" t="str">
        <x:v>https://allcasting.com/castingcall/321852</x:v>
      </x:c>
      <x:c r="AD13" s="2" t="str">
        <x:v>AllCasting</x:v>
      </x:c>
      <x:c r="AE13" s="4" t="d">
        <x:v>2026-10-15T00:00:00.000Z</x:v>
      </x:c>
      <x:c r="AF13" s="2" t="str">
        <x:v>Full text reviewed</x:v>
      </x:c>
      <x:c r="AG13" s="2" t="str">
        <x:v>Student short; acting experience. Reel/credit not promised in listing.</x:v>
      </x:c>
      <x:c r="AH13" s="2" t="str">
        <x:v>Pay, exact cutoff, sides and direct recipient</x:v>
      </x:c>
    </x:row>
    <x:row r="14" ht="40" customHeight="1">
      <x:c r="A14" s="2" t="str">
        <x:v>ST6-JERICO</x:v>
      </x:c>
      <x:c r="B14" s="2" t="str">
        <x:v>To do</x:v>
      </x:c>
      <x:c r="C14" s="2" t="str">
        <x:v>Urgent</x:v>
      </x:c>
      <x:c r="D14" s="2" t="str">
        <x:v>Acting — film / TV</x:v>
      </x:c>
      <x:c r="E14" s="2" t="str">
        <x:v>Sales Team Six</x:v>
      </x:c>
      <x:c r="F14" s="2" t="str">
        <x:v>Jerico</x:v>
      </x:c>
      <x:c r="G14" s="4" t="d">
        <x:v>2026-10-15T00:00:00.000Z</x:v>
      </x:c>
      <x:c r="H14" s="2"/>
      <x:c r="I14" s="2" t="str">
        <x:v>Deadline passed</x:v>
      </x:c>
      <x:c r="J14" s="2" t="str">
        <x:v>Obtain sides and submit self-tape before deadline</x:v>
      </x:c>
      <x:c r="K14" s="4"/>
      <x:c r="L14" s="4"/>
      <x:c r="M14" s="2" t="str"/>
      <x:c r="N14" s="2" t="str">
        <x:v>Unknown</x:v>
      </x:c>
      <x:c r="O14" s="2"/>
      <x:c r="P14" s="2" t="str"/>
      <x:c r="Q14" s="2" t="str">
        <x:v>Greater Vancouver</x:v>
      </x:c>
      <x:c r="R14" s="4" t="d">
        <x:v>2026-11-13T00:00:00.000Z</x:v>
      </x:c>
      <x:c r="S14" s="4" t="d">
        <x:v>2026-11-15T00:00:00.000Z</x:v>
      </x:c>
      <x:c r="T14" s="2" t="str"/>
      <x:c r="U14" s="2"/>
      <x:c r="V14" s="2" t="str">
        <x:v>Male 40–56, all ethnicities</x:v>
      </x:c>
      <x:c r="W14" s="2" t="str">
        <x:v>Union and non-union</x:v>
      </x:c>
      <x:c r="X14" s="2" t="str">
        <x:v>Self-tape; callbacks</x:v>
      </x:c>
      <x:c r="Y14" s="2" t="str">
        <x:v>Self-tape Oct 15; callbacks Oct 17; cutoff time not stated</x:v>
      </x:c>
      <x:c r="Z14" s="2" t="str">
        <x:v>Headshot, résumé, optional reel; indicate role; self-tape instructions via listing</x:v>
      </x:c>
      <x:c r="AA14" s="2" t="str">
        <x:v>Apply through listing; direct recipient not public</x:v>
      </x:c>
      <x:c r="AB14" s="2" t="str"/>
      <x:c r="AC14" s="2" t="str">
        <x:v>https://allcasting.com/castingcall/321852</x:v>
      </x:c>
      <x:c r="AD14" s="2" t="str">
        <x:v>AllCasting</x:v>
      </x:c>
      <x:c r="AE14" s="4" t="d">
        <x:v>2026-10-15T00:00:00.000Z</x:v>
      </x:c>
      <x:c r="AF14" s="2" t="str">
        <x:v>Full text reviewed</x:v>
      </x:c>
      <x:c r="AG14" s="2" t="str">
        <x:v>Student short; acting experience. Reel/credit not promised in listing.</x:v>
      </x:c>
      <x:c r="AH14" s="2" t="str">
        <x:v>Pay, exact cutoff, sides and direct recipient</x:v>
      </x:c>
    </x:row>
    <x:row r="15" ht="40" customHeight="1">
      <x:c r="A15" s="2" t="str">
        <x:v>NEIGH-DERIC</x:v>
      </x:c>
      <x:c r="B15" s="2" t="str">
        <x:v>To do</x:v>
      </x:c>
      <x:c r="C15" s="2" t="str">
        <x:v>Urgent</x:v>
      </x:c>
      <x:c r="D15" s="2" t="str">
        <x:v>Acting — film / TV</x:v>
      </x:c>
      <x:c r="E15" s="2" t="str">
        <x:v>The Neighbour</x:v>
      </x:c>
      <x:c r="F15" s="2" t="str">
        <x:v>Deric</x:v>
      </x:c>
      <x:c r="G15" s="4" t="d">
        <x:v>2026-10-15T00:00:00.000Z</x:v>
      </x:c>
      <x:c r="H15" s="2"/>
      <x:c r="I15" s="2" t="str">
        <x:v>Deadline passed</x:v>
      </x:c>
      <x:c r="J15" s="2" t="str">
        <x:v>Email materials and requested role</x:v>
      </x:c>
      <x:c r="K15" s="4"/>
      <x:c r="L15" s="4"/>
      <x:c r="M15" s="2" t="str"/>
      <x:c r="N15" s="2" t="str">
        <x:v>Unknown</x:v>
      </x:c>
      <x:c r="O15" s="2"/>
      <x:c r="P15" s="2" t="str"/>
      <x:c r="Q15" s="2" t="str">
        <x:v>Greater Vancouver</x:v>
      </x:c>
      <x:c r="R15" s="4" t="d">
        <x:v>2026-11-20T00:00:00.000Z</x:v>
      </x:c>
      <x:c r="S15" s="4" t="d">
        <x:v>2026-11-22T00:00:00.000Z</x:v>
      </x:c>
      <x:c r="T15" s="2" t="str"/>
      <x:c r="U15" s="2"/>
      <x:c r="V15" s="2" t="str">
        <x:v>Male, 30s; volatile father, threatening to shaken; legally eligible to work in Canada</x:v>
      </x:c>
      <x:c r="W15" s="2" t="str">
        <x:v>Union and non-union</x:v>
      </x:c>
      <x:c r="X15" s="2" t="str">
        <x:v>Self-tape if shortlisted; callback</x:v>
      </x:c>
      <x:c r="Y15" s="2" t="str">
        <x:v>Oct 22 callback, 142 Water Street, VFS Film Production</x:v>
      </x:c>
      <x:c r="Z15" s="2" t="str">
        <x:v>Résumé, headshot, optional demo reel; name requested role</x:v>
      </x:c>
      <x:c r="AA15" s="2" t="str">
        <x:v>theneighbour.production@outlook.com</x:v>
      </x:c>
      <x:c r="AB15" s="2" t="str"/>
      <x:c r="AC15" s="2" t="str">
        <x:v>https://www.facebook.com/groups/233914560287649/</x:v>
      </x:c>
      <x:c r="AD15" s="2" t="str">
        <x:v>BC Casting Call — Rakele Budroni</x:v>
      </x:c>
      <x:c r="AE15" s="4" t="d">
        <x:v>2026-10-15T00:00:00.000Z</x:v>
      </x:c>
      <x:c r="AF15" s="2" t="str">
        <x:v>Full text reviewed</x:v>
      </x:c>
      <x:c r="AG15" s="2" t="str">
        <x:v>VFS short film. Reel/credit terms need confirmation.</x:v>
      </x:c>
      <x:c r="AH15" s="2" t="str">
        <x:v>Pay, cutoff time; direct post URL not yet captured</x:v>
      </x:c>
    </x:row>
    <x:row r="16" ht="40" customHeight="1">
      <x:c r="A16" s="2" t="str">
        <x:v>NEIGH-GRETCHEN</x:v>
      </x:c>
      <x:c r="B16" s="2" t="str">
        <x:v>To do</x:v>
      </x:c>
      <x:c r="C16" s="2" t="str">
        <x:v>Urgent</x:v>
      </x:c>
      <x:c r="D16" s="2" t="str">
        <x:v>Acting — film / TV</x:v>
      </x:c>
      <x:c r="E16" s="2" t="str">
        <x:v>The Neighbour</x:v>
      </x:c>
      <x:c r="F16" s="2" t="str">
        <x:v>Gretchen</x:v>
      </x:c>
      <x:c r="G16" s="4" t="d">
        <x:v>2026-10-15T00:00:00.000Z</x:v>
      </x:c>
      <x:c r="H16" s="2"/>
      <x:c r="I16" s="2" t="str">
        <x:v>Deadline passed</x:v>
      </x:c>
      <x:c r="J16" s="2" t="str">
        <x:v>Email materials and requested role</x:v>
      </x:c>
      <x:c r="K16" s="4"/>
      <x:c r="L16" s="4"/>
      <x:c r="M16" s="2" t="str"/>
      <x:c r="N16" s="2" t="str">
        <x:v>Unknown</x:v>
      </x:c>
      <x:c r="O16" s="2"/>
      <x:c r="P16" s="2" t="str"/>
      <x:c r="Q16" s="2" t="str">
        <x:v>Greater Vancouver</x:v>
      </x:c>
      <x:c r="R16" s="4" t="d">
        <x:v>2026-11-20T00:00:00.000Z</x:v>
      </x:c>
      <x:c r="S16" s="4" t="d">
        <x:v>2026-11-22T00:00:00.000Z</x:v>
      </x:c>
      <x:c r="T16" s="2" t="str"/>
      <x:c r="U16" s="2"/>
      <x:c r="V16" s="2" t="str">
        <x:v>Female, 60s; legally eligible to work in Canada</x:v>
      </x:c>
      <x:c r="W16" s="2" t="str">
        <x:v>Union and non-union</x:v>
      </x:c>
      <x:c r="X16" s="2" t="str">
        <x:v>Self-tape if shortlisted; callback</x:v>
      </x:c>
      <x:c r="Y16" s="2" t="str">
        <x:v>Oct 22 callback, 142 Water Street, VFS Film Production</x:v>
      </x:c>
      <x:c r="Z16" s="2" t="str">
        <x:v>Résumé, headshot, optional demo reel; name requested role</x:v>
      </x:c>
      <x:c r="AA16" s="2" t="str">
        <x:v>theneighbour.production@outlook.com</x:v>
      </x:c>
      <x:c r="AB16" s="2" t="str"/>
      <x:c r="AC16" s="2" t="str">
        <x:v>https://www.facebook.com/groups/233914560287649/</x:v>
      </x:c>
      <x:c r="AD16" s="2" t="str">
        <x:v>BC Casting Call — Rakele Budroni</x:v>
      </x:c>
      <x:c r="AE16" s="4" t="d">
        <x:v>2026-10-15T00:00:00.000Z</x:v>
      </x:c>
      <x:c r="AF16" s="2" t="str">
        <x:v>Full text reviewed</x:v>
      </x:c>
      <x:c r="AG16" s="2" t="str">
        <x:v>VFS short film. Reel/credit terms need confirmation.</x:v>
      </x:c>
      <x:c r="AH16" s="2" t="str">
        <x:v>Pay, cutoff time; direct post URL not yet captured</x:v>
      </x:c>
    </x:row>
    <x:row r="17" ht="40" customHeight="1">
      <x:c r="A17" s="2" t="str">
        <x:v>NEIGH-ANNIE</x:v>
      </x:c>
      <x:c r="B17" s="2" t="str">
        <x:v>To do</x:v>
      </x:c>
      <x:c r="C17" s="2" t="str">
        <x:v>Urgent</x:v>
      </x:c>
      <x:c r="D17" s="2" t="str">
        <x:v>Acting — film / TV</x:v>
      </x:c>
      <x:c r="E17" s="2" t="str">
        <x:v>The Neighbour</x:v>
      </x:c>
      <x:c r="F17" s="2" t="str">
        <x:v>Annie</x:v>
      </x:c>
      <x:c r="G17" s="4" t="d">
        <x:v>2026-10-15T00:00:00.000Z</x:v>
      </x:c>
      <x:c r="H17" s="2"/>
      <x:c r="I17" s="2" t="str">
        <x:v>Deadline passed</x:v>
      </x:c>
      <x:c r="J17" s="2" t="str">
        <x:v>Email materials and requested role</x:v>
      </x:c>
      <x:c r="K17" s="4"/>
      <x:c r="L17" s="4"/>
      <x:c r="M17" s="2" t="str"/>
      <x:c r="N17" s="2" t="str">
        <x:v>Unknown</x:v>
      </x:c>
      <x:c r="O17" s="2"/>
      <x:c r="P17" s="2" t="str"/>
      <x:c r="Q17" s="2" t="str">
        <x:v>Greater Vancouver</x:v>
      </x:c>
      <x:c r="R17" s="4" t="d">
        <x:v>2026-11-20T00:00:00.000Z</x:v>
      </x:c>
      <x:c r="S17" s="4" t="d">
        <x:v>2026-11-22T00:00:00.000Z</x:v>
      </x:c>
      <x:c r="T17" s="2" t="str"/>
      <x:c r="U17" s="2"/>
      <x:c r="V17" s="2" t="str">
        <x:v>Female, 30s; legally eligible to work in Canada</x:v>
      </x:c>
      <x:c r="W17" s="2" t="str">
        <x:v>Union and non-union</x:v>
      </x:c>
      <x:c r="X17" s="2" t="str">
        <x:v>Self-tape if shortlisted; callback</x:v>
      </x:c>
      <x:c r="Y17" s="2" t="str">
        <x:v>Oct 22 callback, 142 Water Street, VFS Film Production</x:v>
      </x:c>
      <x:c r="Z17" s="2" t="str">
        <x:v>Résumé, headshot, optional demo reel; name requested role</x:v>
      </x:c>
      <x:c r="AA17" s="2" t="str">
        <x:v>theneighbour.production@outlook.com</x:v>
      </x:c>
      <x:c r="AB17" s="2" t="str"/>
      <x:c r="AC17" s="2" t="str">
        <x:v>https://www.facebook.com/groups/233914560287649/</x:v>
      </x:c>
      <x:c r="AD17" s="2" t="str">
        <x:v>BC Casting Call — Rakele Budroni</x:v>
      </x:c>
      <x:c r="AE17" s="4" t="d">
        <x:v>2026-10-15T00:00:00.000Z</x:v>
      </x:c>
      <x:c r="AF17" s="2" t="str">
        <x:v>Full text reviewed</x:v>
      </x:c>
      <x:c r="AG17" s="2" t="str">
        <x:v>VFS short film. Reel/credit terms need confirmation.</x:v>
      </x:c>
      <x:c r="AH17" s="2" t="str">
        <x:v>Pay, cutoff time; direct post URL not yet captured</x:v>
      </x:c>
    </x:row>
    <x:row r="18" ht="40" customHeight="1">
      <x:c r="A18" s="2" t="str">
        <x:v>NEIGH-PIXIE</x:v>
      </x:c>
      <x:c r="B18" s="2" t="str">
        <x:v>To do</x:v>
      </x:c>
      <x:c r="C18" s="2" t="str">
        <x:v>Urgent</x:v>
      </x:c>
      <x:c r="D18" s="2" t="str">
        <x:v>Acting — film / TV</x:v>
      </x:c>
      <x:c r="E18" s="2" t="str">
        <x:v>The Neighbour</x:v>
      </x:c>
      <x:c r="F18" s="2" t="str">
        <x:v>Pixie</x:v>
      </x:c>
      <x:c r="G18" s="4" t="d">
        <x:v>2026-10-15T00:00:00.000Z</x:v>
      </x:c>
      <x:c r="H18" s="2"/>
      <x:c r="I18" s="2" t="str">
        <x:v>Deadline passed</x:v>
      </x:c>
      <x:c r="J18" s="2" t="str">
        <x:v>Email materials and requested role</x:v>
      </x:c>
      <x:c r="K18" s="4"/>
      <x:c r="L18" s="4"/>
      <x:c r="M18" s="2" t="str"/>
      <x:c r="N18" s="2" t="str">
        <x:v>Unknown</x:v>
      </x:c>
      <x:c r="O18" s="2"/>
      <x:c r="P18" s="2" t="str"/>
      <x:c r="Q18" s="2" t="str">
        <x:v>Greater Vancouver</x:v>
      </x:c>
      <x:c r="R18" s="4" t="d">
        <x:v>2026-11-20T00:00:00.000Z</x:v>
      </x:c>
      <x:c r="S18" s="4" t="d">
        <x:v>2026-11-22T00:00:00.000Z</x:v>
      </x:c>
      <x:c r="T18" s="2" t="str"/>
      <x:c r="U18" s="2"/>
      <x:c r="V18" s="2" t="str">
        <x:v>Any gender, 10–14; legally eligible to work in Canada</x:v>
      </x:c>
      <x:c r="W18" s="2" t="str">
        <x:v>Union and non-union</x:v>
      </x:c>
      <x:c r="X18" s="2" t="str">
        <x:v>Self-tape if shortlisted; callback</x:v>
      </x:c>
      <x:c r="Y18" s="2" t="str">
        <x:v>Oct 22 callback, 142 Water Street, VFS Film Production</x:v>
      </x:c>
      <x:c r="Z18" s="2" t="str">
        <x:v>Résumé, headshot, optional demo reel; name requested role</x:v>
      </x:c>
      <x:c r="AA18" s="2" t="str">
        <x:v>theneighbour.production@outlook.com</x:v>
      </x:c>
      <x:c r="AB18" s="2" t="str"/>
      <x:c r="AC18" s="2" t="str">
        <x:v>https://www.facebook.com/groups/233914560287649/</x:v>
      </x:c>
      <x:c r="AD18" s="2" t="str">
        <x:v>BC Casting Call — Rakele Budroni</x:v>
      </x:c>
      <x:c r="AE18" s="4" t="d">
        <x:v>2026-10-15T00:00:00.000Z</x:v>
      </x:c>
      <x:c r="AF18" s="2" t="str">
        <x:v>Full text reviewed</x:v>
      </x:c>
      <x:c r="AG18" s="2" t="str">
        <x:v>VFS short film. Reel/credit terms need confirmation.</x:v>
      </x:c>
      <x:c r="AH18" s="2" t="str">
        <x:v>Pay, cutoff time; direct post URL not yet captured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D97706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31" hidden="0" customWidth="1"/>
    <x:col min="3" max="3" width="27" hidden="0" customWidth="1"/>
    <x:col min="4" max="4" width="29" hidden="0" customWidth="1"/>
    <x:col min="5" max="5" width="16" hidden="0" customWidth="1"/>
    <x:col min="6" max="6" width="16" hidden="0" customWidth="1"/>
    <x:col min="7" max="7" width="55" hidden="0" customWidth="1"/>
    <x:col min="8" max="8" width="43" hidden="0" customWidth="1"/>
    <x:col min="9" max="9" width="51" hidden="0" customWidth="1"/>
    <x:col min="10" max="10" width="18" hidden="0" customWidth="1"/>
    <x:col min="11" max="11" width="43" hidden="0" customWidth="1"/>
    <x:col min="12" max="12" width="65" hidden="0" customWidth="1"/>
  </x:cols>
  <x:sheetData>
    <x:row r="1" ht="33" customHeight="1">
      <x:c r="A1" s="46" t="str">
        <x:v>FNMK music outreach has moved</x:v>
      </x:c>
      <x:c r="B1" s="46" t="str"/>
      <x:c r="C1" s="46" t="str"/>
      <x:c r="D1" s="46"/>
      <x:c r="E1" s="46"/>
      <x:c r="F1" s="46"/>
      <x:c r="G1" s="46"/>
      <x:c r="H1" s="46"/>
      <x:c r="I1" s="46"/>
      <x:c r="J1" s="46"/>
      <x:c r="K1" s="46"/>
      <x:c r="L1" s="46"/>
    </x:row>
    <x:row r="2" ht="84" customHeight="1">
      <x:c r="A2" s="50" t="str">
        <x:v>Live workbook</x:v>
      </x:c>
      <x:c r="B2" s="50" t="str">
        <x:v>C:/Users/coolf/OneDrive/Documents/claude/portoflio/FNMK Music Outreach/FNMK Music Outreach.xlsx</x:v>
      </x:c>
      <x:c r="C2" s="50"/>
      <x:c r="D2" s="50"/>
      <x:c r="E2" s="50"/>
      <x:c r="F2" s="50"/>
      <x:c r="G2" s="50"/>
      <x:c r="H2" s="50"/>
      <x:c r="I2" s="50"/>
      <x:c r="J2" s="50"/>
      <x:c r="K2" s="50"/>
      <x:c r="L2" s="50"/>
    </x:row>
    <x:row r="3" ht="84" customHeight="1">
      <x:c r="A3" s="54" t="str">
        <x:v>Acting applications remain in Opportunities</x:v>
      </x:c>
      <x:c r="B3" s="54" t="str">
        <x:v>Music targets and outreach statuses are in the separate FNMK workbook.</x:v>
      </x:c>
      <x:c r="C3" s="54"/>
      <x:c r="D3" s="54"/>
      <x:c r="E3" s="54"/>
      <x:c r="F3" s="54"/>
      <x:c r="G3" s="54"/>
      <x:c r="H3" s="54"/>
      <x:c r="I3" s="54"/>
      <x:c r="J3" s="54"/>
      <x:c r="K3" s="54"/>
      <x:c r="L3" s="54"/>
    </x:row>
    <x:row r="4" ht="84" customHeight="1">
      <x:c r="A4" s="54"/>
      <x:c r="B4" s="54"/>
      <x:c r="C4" s="54"/>
      <x:c r="D4" s="54"/>
      <x:c r="E4" s="54"/>
      <x:c r="F4" s="54"/>
      <x:c r="G4" s="54"/>
      <x:c r="H4" s="54"/>
      <x:c r="I4" s="54"/>
      <x:c r="J4" s="54"/>
      <x:c r="K4" s="54"/>
      <x:c r="L4" s="54"/>
    </x:row>
    <x:row r="5" ht="84" customHeight="1">
      <x:c r="A5" s="58"/>
      <x:c r="B5" s="58"/>
      <x:c r="C5" s="58"/>
      <x:c r="D5" s="58"/>
      <x:c r="E5" s="58"/>
      <x:c r="F5" s="58"/>
      <x:c r="G5" s="58"/>
      <x:c r="H5" s="58"/>
      <x:c r="I5" s="58"/>
      <x:c r="J5" s="58"/>
      <x:c r="K5" s="58"/>
      <x:c r="L5" s="58"/>
    </x:row>
    <x:row r="6" ht="84" customHeight="1">
      <x:c r="A6" s="62"/>
      <x:c r="B6" s="62"/>
      <x:c r="C6" s="62"/>
      <x:c r="D6" s="62"/>
      <x:c r="E6" s="62"/>
      <x:c r="F6" s="62"/>
      <x:c r="G6" s="62"/>
      <x:c r="H6" s="62"/>
      <x:c r="I6" s="62"/>
      <x:c r="J6" s="62"/>
      <x:c r="K6" s="62"/>
      <x:c r="L6" s="62"/>
    </x:row>
    <x:row r="7" ht="84" customHeight="1">
      <x:c r="A7" s="62"/>
      <x:c r="B7" s="62"/>
      <x:c r="C7" s="62"/>
      <x:c r="D7" s="62"/>
      <x:c r="E7" s="62"/>
      <x:c r="F7" s="62"/>
      <x:c r="G7" s="62"/>
      <x:c r="H7" s="62"/>
      <x:c r="I7" s="62"/>
      <x:c r="J7" s="62"/>
      <x:c r="K7" s="62"/>
      <x:c r="L7" s="62"/>
    </x:row>
    <x:row r="8" ht="84" customHeight="1">
      <x:c r="A8" s="62"/>
      <x:c r="B8" s="62"/>
      <x:c r="C8" s="62"/>
      <x:c r="D8" s="62"/>
      <x:c r="E8" s="62"/>
      <x:c r="F8" s="62"/>
      <x:c r="G8" s="62"/>
      <x:c r="H8" s="62"/>
      <x:c r="I8" s="62"/>
      <x:c r="J8" s="62"/>
      <x:c r="K8" s="62"/>
      <x:c r="L8" s="62"/>
    </x:row>
    <x:row r="9" ht="84" customHeight="1">
      <x:c r="A9" s="62"/>
      <x:c r="B9" s="62"/>
      <x:c r="C9" s="62"/>
      <x:c r="D9" s="62"/>
      <x:c r="E9" s="62"/>
      <x:c r="F9" s="62"/>
      <x:c r="G9" s="62"/>
      <x:c r="H9" s="62"/>
      <x:c r="I9" s="62"/>
      <x:c r="J9" s="62"/>
      <x:c r="K9" s="62"/>
      <x:c r="L9" s="62"/>
    </x:row>
    <x:row r="10" ht="84" customHeight="1">
      <x:c r="A10" s="62"/>
      <x:c r="B10" s="62"/>
      <x:c r="C10" s="62"/>
      <x:c r="D10" s="62"/>
      <x:c r="E10" s="62"/>
      <x:c r="F10" s="62"/>
      <x:c r="G10" s="62"/>
      <x:c r="H10" s="62"/>
      <x:c r="I10" s="62"/>
      <x:c r="J10" s="62"/>
      <x:c r="K10" s="62"/>
      <x:c r="L10" s="62"/>
    </x:row>
  </x:sheetData>
  <x:pageMargins left="0.7" right="0.7" top="0.75" bottom="0.75" header="0.3" footer="0.3"/>
</x:worksheet>
</file>